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Robbie\My Documents\TIN\Project 3e jaar\Workspace team foundation\pixelapps\PiXeL Apps\Webservice\bestanden\10919\"/>
    </mc:Choice>
  </mc:AlternateContent>
  <bookViews>
    <workbookView xWindow="0" yWindow="0" windowWidth="25125" windowHeight="12435" tabRatio="525" firstSheet="1" activeTab="2"/>
  </bookViews>
  <sheets>
    <sheet name="Ingave Specificaties" sheetId="9" r:id="rId1"/>
    <sheet name="Specificaties-Output" sheetId="12" r:id="rId2"/>
    <sheet name="vehspecifications" sheetId="14" r:id="rId3"/>
    <sheet name="SetupFiles" sheetId="18" r:id="rId4"/>
  </sheets>
  <functionGroups builtInGroupCount="18"/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\0">#N/A</definedName>
    <definedName name="\a">#REF!</definedName>
    <definedName name="\b">#REF!</definedName>
    <definedName name="\c">#N/A</definedName>
    <definedName name="\g">#REF!</definedName>
    <definedName name="\m">#REF!</definedName>
    <definedName name="\o">#N/A</definedName>
    <definedName name="\p">#REF!</definedName>
    <definedName name="\t">#REF!</definedName>
    <definedName name="_01_10_93">#REF!</definedName>
    <definedName name="_1ƒp__ƒc">#REF!</definedName>
    <definedName name="_2j_b_g">#REF!</definedName>
    <definedName name="_3p___c">#REF!</definedName>
    <definedName name="_4Z_b_g">#REF!</definedName>
    <definedName name="_562">#REF!</definedName>
    <definedName name="_a1">#REF!</definedName>
    <definedName name="_att2">#REF!</definedName>
    <definedName name="_att3">#REF!</definedName>
    <definedName name="_att4">#REF!</definedName>
    <definedName name="_com1">'[1]C214 9306#25'!#REF!</definedName>
    <definedName name="_com10">'[1]C214 9306#25'!#REF!</definedName>
    <definedName name="_com12">'[1]C214 9306#25'!#REF!</definedName>
    <definedName name="_com13">'[1]C214 9306#25'!#REF!</definedName>
    <definedName name="_com14">'[1]C214 9306#25'!#REF!</definedName>
    <definedName name="_com15">'[1]C214 9306#25'!#REF!</definedName>
    <definedName name="_com16">'[1]C214 9306#25'!#REF!</definedName>
    <definedName name="_com18">'[1]C214 9306#25'!#REF!</definedName>
    <definedName name="_com19">'[1]C214 9306#25'!#REF!</definedName>
    <definedName name="_com2">'[1]C214 9306#25'!#REF!</definedName>
    <definedName name="_com20">'[1]C214 9306#25'!#REF!</definedName>
    <definedName name="_com21">'[1]C214 9306#25'!#REF!</definedName>
    <definedName name="_com22">'[1]C214 9306#25'!#REF!</definedName>
    <definedName name="_com23">'[1]C214 9306#25'!#REF!</definedName>
    <definedName name="_com24">'[1]C214 9306#25'!#REF!</definedName>
    <definedName name="_com25">'[1]C214 9306#25'!#REF!</definedName>
    <definedName name="_com26">'[1]C214 9306#25'!#REF!</definedName>
    <definedName name="_com27">'[1]C214 9306#25'!#REF!</definedName>
    <definedName name="_com29">'[1]C214 9306#25'!#REF!</definedName>
    <definedName name="_com3">'[1]C214 9306#25'!#REF!</definedName>
    <definedName name="_com30">'[1]C214 9306#25'!#REF!</definedName>
    <definedName name="_com31">'[1]C214 9306#25'!#REF!</definedName>
    <definedName name="_com32">'[1]C214 9306#25'!#REF!</definedName>
    <definedName name="_com34">'[1]C214 9306#25'!#REF!</definedName>
    <definedName name="_com4">'[1]C214 9306#25'!#REF!</definedName>
    <definedName name="_com5">'[1]C214 9306#25'!#REF!</definedName>
    <definedName name="_com6">'[1]C214 9306#25'!#REF!</definedName>
    <definedName name="_com7">'[1]C214 9306#25'!#REF!</definedName>
    <definedName name="_com8">'[1]C214 9306#25'!#REF!</definedName>
    <definedName name="_com9">'[1]C214 9306#25'!#REF!</definedName>
    <definedName name="_des1">'[1]C214 9306#25'!#REF!</definedName>
    <definedName name="_des10">'[1]C214 9306#25'!#REF!</definedName>
    <definedName name="_des11">'[1]C214 9306#25'!#REF!</definedName>
    <definedName name="_des12">'[1]C214 9306#25'!#REF!</definedName>
    <definedName name="_des13">'[1]C214 9306#25'!#REF!</definedName>
    <definedName name="_des14">'[1]C214 9306#25'!#REF!</definedName>
    <definedName name="_des15">'[1]C214 9306#25'!#REF!</definedName>
    <definedName name="_des16">'[1]C214 9306#25'!#REF!</definedName>
    <definedName name="_des18">'[1]C214 9306#25'!#REF!</definedName>
    <definedName name="_des19">'[1]C214 9306#25'!#REF!</definedName>
    <definedName name="_des2">'[1]C214 9306#25'!#REF!</definedName>
    <definedName name="_des20">'[1]C214 9306#25'!#REF!</definedName>
    <definedName name="_des21">'[1]C214 9306#25'!#REF!</definedName>
    <definedName name="_des22">'[1]C214 9306#25'!#REF!</definedName>
    <definedName name="_des23">'[1]C214 9306#25'!#REF!</definedName>
    <definedName name="_des24">'[1]C214 9306#25'!#REF!</definedName>
    <definedName name="_des25">'[1]C214 9306#25'!#REF!</definedName>
    <definedName name="_des26">'[1]C214 9306#25'!#REF!</definedName>
    <definedName name="_des27">'[1]C214 9306#25'!#REF!</definedName>
    <definedName name="_des29">'[1]C214 9306#25'!#REF!</definedName>
    <definedName name="_des3">'[1]C214 9306#25'!#REF!</definedName>
    <definedName name="_des30">'[1]C214 9306#25'!#REF!</definedName>
    <definedName name="_des31">'[1]C214 9306#25'!#REF!</definedName>
    <definedName name="_des32">'[1]C214 9306#25'!#REF!</definedName>
    <definedName name="_des34">'[1]C214 9306#25'!#REF!</definedName>
    <definedName name="_des4">'[1]C214 9306#25'!#REF!</definedName>
    <definedName name="_des5">'[1]C214 9306#25'!#REF!</definedName>
    <definedName name="_des6">'[1]C214 9306#25'!#REF!</definedName>
    <definedName name="_des7">'[1]C214 9306#25'!#REF!</definedName>
    <definedName name="_des8">'[1]C214 9306#25'!#REF!</definedName>
    <definedName name="_des9">'[1]C214 9306#25'!#REF!</definedName>
    <definedName name="_Fill" hidden="1">#REF!</definedName>
    <definedName name="_FRANCE">#REF!</definedName>
    <definedName name="_key">#REF!</definedName>
    <definedName name="_MMT6" hidden="1">{"REVISED",#N/A,FALSE,"Sheet1"}</definedName>
    <definedName name="_Order1" hidden="1">0</definedName>
    <definedName name="_Order2" hidden="1">0</definedName>
    <definedName name="_PF1">#REF!</definedName>
    <definedName name="_PF2">#REF!</definedName>
    <definedName name="_PF3">#REF!</definedName>
    <definedName name="_ris1">'[1]C214 9306#25'!#REF!</definedName>
    <definedName name="_ris10">'[1]C214 9306#25'!#REF!</definedName>
    <definedName name="_ris11">'[1]C214 9306#25'!#REF!</definedName>
    <definedName name="_ris12">'[1]C214 9306#25'!#REF!</definedName>
    <definedName name="_ris13">'[1]C214 9306#25'!#REF!</definedName>
    <definedName name="_ris14">'[1]C214 9306#25'!#REF!</definedName>
    <definedName name="_ris15">'[1]C214 9306#25'!#REF!</definedName>
    <definedName name="_ris16">'[1]C214 9306#25'!#REF!</definedName>
    <definedName name="_ris18">'[1]C214 9306#25'!#REF!</definedName>
    <definedName name="_ris19">'[1]C214 9306#25'!#REF!</definedName>
    <definedName name="_ris2">'[1]C214 9306#25'!#REF!</definedName>
    <definedName name="_ris20">'[1]C214 9306#25'!#REF!</definedName>
    <definedName name="_ris21">'[1]C214 9306#25'!#REF!</definedName>
    <definedName name="_ris22">'[1]C214 9306#25'!#REF!</definedName>
    <definedName name="_ris23">'[1]C214 9306#25'!#REF!</definedName>
    <definedName name="_ris24">'[1]C214 9306#25'!#REF!</definedName>
    <definedName name="_ris25">'[1]C214 9306#25'!#REF!</definedName>
    <definedName name="_ris26">'[1]C214 9306#25'!#REF!</definedName>
    <definedName name="_ris27">'[1]C214 9306#25'!#REF!</definedName>
    <definedName name="_ris29">'[1]C214 9306#25'!#REF!</definedName>
    <definedName name="_ris3">'[1]C214 9306#25'!#REF!</definedName>
    <definedName name="_ris30">'[1]C214 9306#25'!#REF!</definedName>
    <definedName name="_ris31">'[1]C214 9306#25'!#REF!</definedName>
    <definedName name="_ris32">'[1]C214 9306#25'!#REF!</definedName>
    <definedName name="_ris34">'[1]C214 9306#25'!#REF!</definedName>
    <definedName name="_ris4">'[1]C214 9306#25'!#REF!</definedName>
    <definedName name="_ris5">'[1]C214 9306#25'!#REF!</definedName>
    <definedName name="_ris6">'[1]C214 9306#25'!#REF!</definedName>
    <definedName name="_ris7">'[1]C214 9306#25'!#REF!</definedName>
    <definedName name="_ris8">'[1]C214 9306#25'!#REF!</definedName>
    <definedName name="_ris9">'[1]C214 9306#25'!#REF!</definedName>
    <definedName name="_uk1" hidden="1">{"COMPARISON",#N/A,FALSE,"Sheet1"}</definedName>
    <definedName name="A">#REF!</definedName>
    <definedName name="aa" hidden="1">{"COMPARISON",#N/A,FALSE,"Sheet1"}</definedName>
    <definedName name="ABC">#REF!</definedName>
    <definedName name="abcd" hidden="1">{"REVISED",#N/A,FALSE,"Sheet1"}</definedName>
    <definedName name="AC" hidden="1">{#N/A,#N/A,FALSE,"Cover Sheet";#N/A,#N/A,FALSE,"Ave_Trans_Shp_Abs";#N/A,#N/A,FALSE,"Det_Shp_Abs";#N/A,#N/A,FALSE,"Ave_Trans_Inst_Abs";#N/A,#N/A,FALSE,"Det_Ins_Abs";#N/A,#N/A,FALSE,"Ave_Trans_Tot_ABS";#N/A,#N/A,FALSE,"Det_Total_ABS"}</definedName>
    <definedName name="AP" hidden="1">{"COMPARISON",#N/A,FALSE,"Sheet1"}</definedName>
    <definedName name="att4a">#REF!</definedName>
    <definedName name="Austria">#REF!</definedName>
    <definedName name="b" hidden="1">{"COMPARISON",#N/A,FALSE,"Sheet1"}</definedName>
    <definedName name="b_w_obj96">'[2]Do not print- input'!$N$1:$N$65536</definedName>
    <definedName name="Baudaten">'[3]#BEZUG'!$B$3:$G$109</definedName>
    <definedName name="BCPI_">#REF!</definedName>
    <definedName name="Belgium">#REF!</definedName>
    <definedName name="bill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Bottom">#REF!</definedName>
    <definedName name="britain_">#REF!</definedName>
    <definedName name="Britain__ECU">#REF!</definedName>
    <definedName name="BS_VS">#REF!</definedName>
    <definedName name="BS_VS_1">#REF!</definedName>
    <definedName name="BW" hidden="1">{"COMPARISON",#N/A,FALSE,"Sheet1"}</definedName>
    <definedName name="cal">[4]Cal!$A$4:$L$18</definedName>
    <definedName name="CALENDARIZATIONS">#REF!</definedName>
    <definedName name="canada">#REF!</definedName>
    <definedName name="caps">#REF!</definedName>
    <definedName name="cde" hidden="1">{"COMPARISON",#N/A,FALSE,"Sheet1"}</definedName>
    <definedName name="class">[4]Allocation!$C$7:$F$13</definedName>
    <definedName name="com13t">'[1]C214 9306#25'!#REF!</definedName>
    <definedName name="com22b">'[1]C214 9306#25'!#REF!</definedName>
    <definedName name="com23a">'[1]C214 9306#25'!#REF!</definedName>
    <definedName name="com23t">'[1]C214 9306#25'!#REF!</definedName>
    <definedName name="com24a">'[1]C214 9306#25'!#REF!</definedName>
    <definedName name="com28a">'[1]C214 9306#25'!#REF!</definedName>
    <definedName name="com28b">'[1]C214 9306#25'!#REF!</definedName>
    <definedName name="com6t">'[1]C214 9306#25'!#REF!</definedName>
    <definedName name="COMPARA">#N/A</definedName>
    <definedName name="conf">'[5]Data Links'!$B$5:$C$10</definedName>
    <definedName name="CPI">#REF!</definedName>
    <definedName name="_xlnm.Criteria">#REF!</definedName>
    <definedName name="d" hidden="1">{#N/A,#N/A,FALSE,"Cover";#N/A,#N/A,FALSE,"Profits";#N/A,#N/A,FALSE,"ABS";#N/A,#N/A,FALSE,"TFLE Detail";#N/A,#N/A,FALSE,"TFLE Walk";#N/A,#N/A,FALSE,"Variable Cost";#N/A,#N/A,FALSE,"V.C. Walk"}</definedName>
    <definedName name="dalakfa">#REF!</definedName>
    <definedName name="Date">'[6]NA 650a'!$E$1:$F$579</definedName>
    <definedName name="Dec_PDLG">'[4]#REF'!#REF!</definedName>
    <definedName name="def" hidden="1">{"REVISED",#N/A,FALSE,"Sheet1"}</definedName>
    <definedName name="DeleteLater2">#REF!</definedName>
    <definedName name="DELITEM">#N/A</definedName>
    <definedName name="Denmark">#REF!</definedName>
    <definedName name="des13t">'[1]C214 9306#25'!#REF!</definedName>
    <definedName name="des22b">'[1]C214 9306#25'!#REF!</definedName>
    <definedName name="des23a">'[1]C214 9306#25'!#REF!</definedName>
    <definedName name="des23t">'[1]C214 9306#25'!#REF!</definedName>
    <definedName name="des24a">'[1]C214 9306#25'!#REF!</definedName>
    <definedName name="des28a">'[1]C214 9306#25'!#REF!</definedName>
    <definedName name="des28b">'[1]C214 9306#25'!#REF!</definedName>
    <definedName name="des6t">'[1]C214 9306#25'!#REF!</definedName>
    <definedName name="dfdfsfdsdffdfdfdsdfsdfsdf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dummy">#REF!</definedName>
    <definedName name="dummy2" hidden="1">{"REVISED",#N/A,FALSE,"Sheet1"}</definedName>
    <definedName name="dummy3" hidden="1">{"REVISED",#N/A,FALSE,"Sheet1"}</definedName>
    <definedName name="e" hidden="1">{#N/A,#N/A,FALSE,"Profit Status";#N/A,#N/A,FALSE,"Invest";#N/A,#N/A,FALSE,"Revenue";#N/A,#N/A,FALSE,"Variable Cost";#N/A,#N/A,FALSE,"Options &amp; Series"}</definedName>
    <definedName name="Eng_BS">#REF!</definedName>
    <definedName name="Eng_BS_1">#REF!</definedName>
    <definedName name="Eng_VS">#REF!</definedName>
    <definedName name="Eng_VS_1">#REF!</definedName>
    <definedName name="enmarg">#REF!</definedName>
    <definedName name="enobj">#REF!</definedName>
    <definedName name="enpric">#REF!</definedName>
    <definedName name="enprof">#REF!</definedName>
    <definedName name="envol">#REF!</definedName>
    <definedName name="EP_Trim">#REF!</definedName>
    <definedName name="EP_Trim_1">#REF!</definedName>
    <definedName name="Eric">#REF!</definedName>
    <definedName name="Exchange_Rates">#REF!</definedName>
    <definedName name="explorercanada">#REF!</definedName>
    <definedName name="explorerus">#REF!</definedName>
    <definedName name="_xlnm.Extract">#REF!</definedName>
    <definedName name="F">#REF!</definedName>
    <definedName name="ƒ†ƒjƒbƒg">#REF!</definedName>
    <definedName name="Family1">#REF!</definedName>
    <definedName name="Family2">#REF!</definedName>
    <definedName name="Family3">#REF!</definedName>
    <definedName name="Family4">#REF!</definedName>
    <definedName name="Family5">#REF!</definedName>
    <definedName name="Family6">#REF!</definedName>
    <definedName name="fdjakla">#REF!</definedName>
    <definedName name="Feas_All">#REF!</definedName>
    <definedName name="Feas_Header">#REF!</definedName>
    <definedName name="Feas_Table">#REF!</definedName>
    <definedName name="Filter_details">#REF!</definedName>
    <definedName name="Finland">#REF!</definedName>
    <definedName name="First_Lower">[7]Parts!#REF!</definedName>
    <definedName name="FIRST_QUARTER_AND_SECOND_QUARTER_1999_FIXED_ASSETS">'[4]#REF'!$A$98</definedName>
    <definedName name="fjwhf" hidden="1">{#N/A,#N/A,FALSE,"Profit Status";#N/A,#N/A,FALSE,"Invest";#N/A,#N/A,FALSE,"Revenue";#N/A,#N/A,FALSE,"Variable Cost";#N/A,#N/A,FALSE,"Options &amp; Series"}</definedName>
    <definedName name="fnmarg">#REF!</definedName>
    <definedName name="fnobj">#REF!</definedName>
    <definedName name="fnpric">#REF!</definedName>
    <definedName name="fnprof">#REF!</definedName>
    <definedName name="fnvol">#REF!</definedName>
    <definedName name="FourThree">#REF!</definedName>
    <definedName name="France">#REF!</definedName>
    <definedName name="Frthree">'[8]645a 9-18 PTO 4.3'!$C$1:$AC$189</definedName>
    <definedName name="full_year_savings">'[2]Do not print- input'!$BC$1:$BC$65536</definedName>
    <definedName name="full_yr_fcast">'[2]Do not print- input'!$AS$1:$AS$65536</definedName>
    <definedName name="full_yr_vs_prior">'[2]Do not print- input'!$BG$1:$BG$65536</definedName>
    <definedName name="full_yr_vs_targ">'[2]Do not print- input'!$BE$1:$BE$65536</definedName>
    <definedName name="FVO">'[9]96totcstsum'!#REF!</definedName>
    <definedName name="FVOL">'[9]96totcstsum'!#REF!</definedName>
    <definedName name="ƒZƒbƒg">#REF!</definedName>
    <definedName name="g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GDP">#REF!</definedName>
    <definedName name="Germany">#REF!</definedName>
    <definedName name="germany_">#REF!</definedName>
    <definedName name="gfdsged" hidden="1">{"REVISED",#N/A,FALSE,"Sheet1"}</definedName>
    <definedName name="GrandTotals">#REF!</definedName>
    <definedName name="Header1">#REF!</definedName>
    <definedName name="hhihihi">#REF!</definedName>
    <definedName name="hjgflha" hidden="1">{#N/A,#N/A,FALSE,"Cover Sheet";#N/A,#N/A,FALSE,"Ave_Trans_Shp_Abs";#N/A,#N/A,FALSE,"Det_Shp_Abs";#N/A,#N/A,FALSE,"Ave_Trans_Inst_Abs";#N/A,#N/A,FALSE,"Det_Ins_Abs";#N/A,#N/A,FALSE,"Ave_Trans_Tot_ABS";#N/A,#N/A,FALSE,"Det_Total_ABS"}</definedName>
    <definedName name="HP_BS">#REF!</definedName>
    <definedName name="HP_BS_1">#REF!</definedName>
    <definedName name="HP_Eng">#REF!</definedName>
    <definedName name="HP_Eng_1">#REF!</definedName>
    <definedName name="HP_TM">#REF!</definedName>
    <definedName name="HP_TM_1">#REF!</definedName>
    <definedName name="HP_VS">#REF!</definedName>
    <definedName name="HP_VS_1">#REF!</definedName>
    <definedName name="INICIO">#N/A</definedName>
    <definedName name="ioc">#REF!</definedName>
    <definedName name="IRELAND">#REF!</definedName>
    <definedName name="Ireland__ECU">#REF!</definedName>
    <definedName name="Italy">#REF!</definedName>
    <definedName name="ITALY_">#REF!</definedName>
    <definedName name="J1_TO_QTRS">#REF!</definedName>
    <definedName name="Japan">#REF!</definedName>
    <definedName name="LABEL">#REF!</definedName>
    <definedName name="Last_Lower">[7]Parts!#REF!</definedName>
    <definedName name="lastCell">#REF!</definedName>
    <definedName name="LastColumn">#REF!</definedName>
    <definedName name="LMbase">#REF!</definedName>
    <definedName name="LVCell">#REF!</definedName>
    <definedName name="M1_Test_Groups">#REF!</definedName>
    <definedName name="M1_Test_Groups_Ext">#REF!</definedName>
    <definedName name="Map">[4]Map!$B$3:$C$51</definedName>
    <definedName name="Master">'[4]#REF'!$A:$IV</definedName>
    <definedName name="MgmtSum">#REF!</definedName>
    <definedName name="MITTEA">#REF!</definedName>
    <definedName name="mix">'[2]Do not print- input'!$D$1:$D$65536</definedName>
    <definedName name="MODEL_Inputs">#REF!</definedName>
    <definedName name="MODEL_Outputs">#REF!</definedName>
    <definedName name="mountaineer">#REF!</definedName>
    <definedName name="MS">#REF!</definedName>
    <definedName name="NAbase">'[6]NA 650a'!$C$1:$Q$579</definedName>
    <definedName name="Netherlands">#REF!</definedName>
    <definedName name="NETHERLDS">#REF!</definedName>
    <definedName name="NEXT">#REF!</definedName>
    <definedName name="next1">#REF!</definedName>
    <definedName name="NEXTAVYR">#REF!</definedName>
    <definedName name="nhihihih" hidden="1">{#N/A,#N/A,FALSE,"Cover";#N/A,#N/A,FALSE,"Profits";#N/A,#N/A,FALSE,"ABS";#N/A,#N/A,FALSE,"TFLE Detail";#N/A,#N/A,FALSE,"TFLE Walk";#N/A,#N/A,FALSE,"Variable Cost";#N/A,#N/A,FALSE,"V.C. Walk"}</definedName>
    <definedName name="NOMEI2">#N/A</definedName>
    <definedName name="Norway">#REF!</definedName>
    <definedName name="OBEN">#REF!</definedName>
    <definedName name="OrigData">#REF!</definedName>
    <definedName name="PANAL">#REF!</definedName>
    <definedName name="PartSelect">#REF!</definedName>
    <definedName name="PartStuff">#REF!</definedName>
    <definedName name="PGM_CODE">#REF!</definedName>
    <definedName name="Picked_Feats">#REF!</definedName>
    <definedName name="Portugal">#REF!</definedName>
    <definedName name="Prelim">#REF!</definedName>
    <definedName name="_xlnm.Print_Area" localSheetId="1">'Specificaties-Output'!$A$1:$D$49</definedName>
    <definedName name="_xlnm.Print_Area">#N/A</definedName>
    <definedName name="Print_Area_MI">#REF!</definedName>
    <definedName name="Print_I_to_I_Tech">#REF!</definedName>
    <definedName name="Print_I_to_I_Vehicle">#REF!</definedName>
    <definedName name="_xlnm.Print_Titles">#N/A</definedName>
    <definedName name="Print_VC3_Only">[10]!Print_VC3_Only</definedName>
    <definedName name="Print_VC4_Only">[10]!Print_VC4_Only</definedName>
    <definedName name="Print_VC5_Only">[10]!Print_VC5_Only</definedName>
    <definedName name="Profits">'[4]VL PBT'!$A$7:$AF$90</definedName>
    <definedName name="PROJECTED_FIRST_QUARTER_AND_SECOND_QUARTER_2000_FIXED_ASSETS">'[4]#REF'!$A$101</definedName>
    <definedName name="PROJECTED_FULL_YEAR_1999_FIXED_ASSETS">'[4]#REF'!$A$100</definedName>
    <definedName name="PROJECTED_FULL_YEAR_2000_FIXED_ASSETS">'[4]#REF'!$A$103</definedName>
    <definedName name="PROJECTED_Q3_AND_Q4_1999____Q1_AND_Q2_2000_FIXED_ASSETS">'[4]#REF'!$A$104</definedName>
    <definedName name="PROJECTED_THIRD_AND_FOURTH_QUARTER_1999_FIXED_ASSETS">'[4]#REF'!$A$99</definedName>
    <definedName name="PROJECTED_THIRD_AND_FOURTH_QUARTER_2000_FIXED_ASSETS">'[4]#REF'!$A$102</definedName>
    <definedName name="Revenue">[4]Rev!$A$7:$AE$79</definedName>
    <definedName name="ris13t">'[1]C214 9306#25'!#REF!</definedName>
    <definedName name="ris22b">'[1]C214 9306#25'!#REF!</definedName>
    <definedName name="ris23a">'[1]C214 9306#25'!#REF!</definedName>
    <definedName name="ris23t">'[1]C214 9306#25'!#REF!</definedName>
    <definedName name="ris24a">'[1]C214 9306#25'!#REF!</definedName>
    <definedName name="ris28a">'[1]C214 9306#25'!#REF!</definedName>
    <definedName name="ris28b">'[1]C214 9306#25'!#REF!</definedName>
    <definedName name="ris6t">'[1]C214 9306#25'!#REF!</definedName>
    <definedName name="Secondary_Subtotals">#REF!</definedName>
    <definedName name="SelRange">#REF!</definedName>
    <definedName name="Sheet">'[11]Percentage Allocation'!$D$2</definedName>
    <definedName name="skdjfh" hidden="1">{#N/A,#N/A,FALSE,"Assumptions";#N/A,#N/A,FALSE,"Volumes";#N/A,#N/A,FALSE,"Pricing";#N/A,#N/A,FALSE,"Variable Cost";#N/A,#N/A,FALSE,"Investment";#N/A,#N/A,FALSE,"Profitability";#N/A,#N/A,FALSE,"Business Comparison"}</definedName>
    <definedName name="Sort1">#REF!</definedName>
    <definedName name="SortCodes">#REF!</definedName>
    <definedName name="Spain">#REF!</definedName>
    <definedName name="Spec_details">#REF!</definedName>
    <definedName name="Status_622AB">'[4]#REF'!#REF!</definedName>
    <definedName name="Status_622AB_vs_Dec_PDLG">'[4]#REF'!#REF!</definedName>
    <definedName name="Status_625A">'[4]#REF'!#REF!</definedName>
    <definedName name="Status_625A_vs_Feb_PDLG">'[4]#REF'!#REF!</definedName>
    <definedName name="Strawman3" hidden="1">{#N/A,#N/A,FALSE,"Cover";#N/A,#N/A,FALSE,"Profits";#N/A,#N/A,FALSE,"ABS";#N/A,#N/A,FALSE,"TFLE Detail";#N/A,#N/A,FALSE,"TFLE Walk";#N/A,#N/A,FALSE,"Variable Cost";#N/A,#N/A,FALSE,"V.C. Walk"}</definedName>
    <definedName name="Subtotals">#REF!</definedName>
    <definedName name="svc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Sweden">#REF!</definedName>
    <definedName name="SWITZ">#REF!</definedName>
    <definedName name="Switzerland">#REF!</definedName>
    <definedName name="TEST" hidden="1">{"COMPARISON",#N/A,FALSE,"Sheet1"}</definedName>
    <definedName name="test1" hidden="1">{"COMPARISON",#N/A,FALSE,"Sheet1"}</definedName>
    <definedName name="test10" hidden="1">{#N/A,#N/A,FALSE,"Profit Status";#N/A,#N/A,FALSE,"Invest";#N/A,#N/A,FALSE,"Revenue";#N/A,#N/A,FALSE,"Variable Cost";#N/A,#N/A,FALSE,"Options &amp; Series"}</definedName>
    <definedName name="test2" hidden="1">{"COMPARISON",#N/A,FALSE,"Sheet1"}</definedName>
    <definedName name="test3" hidden="1">{"REVISED",#N/A,FALSE,"Sheet1"}</definedName>
    <definedName name="test4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5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M_Eng">#REF!</definedName>
    <definedName name="TM_Eng_1">#REF!</definedName>
    <definedName name="Top">#REF!</definedName>
    <definedName name="total">#REF!</definedName>
    <definedName name="TOTAL1">#N/A</definedName>
    <definedName name="TOTAL2">#N/A</definedName>
    <definedName name="totalexplorer">#REF!</definedName>
    <definedName name="trans" hidden="1">{#N/A,#N/A,FALSE,"Summary Page";#N/A,#N/A,FALSE,"Backup Factory Order Request";#N/A,#N/A,FALSE,"Mix Updated to Include V227";#N/A,#N/A,FALSE,"2000 Bus Plan Status"}</definedName>
    <definedName name="TREND">#REF!</definedName>
    <definedName name="Trend_Rates">#REF!</definedName>
    <definedName name="ttesst" hidden="1">{#N/A,#N/A,FALSE,"Cover";#N/A,#N/A,FALSE,"Profits";#N/A,#N/A,FALSE,"ABS";#N/A,#N/A,FALSE,"TFLE Detail";#N/A,#N/A,FALSE,"TFLE Walk";#N/A,#N/A,FALSE,"Variable Cost";#N/A,#N/A,FALSE,"V.C. Walk"}</definedName>
    <definedName name="UK" hidden="1">{"COMPARISON",#N/A,FALSE,"Sheet1"}</definedName>
    <definedName name="UNTEN">#REF!</definedName>
    <definedName name="usexplorer">#REF!</definedName>
    <definedName name="UVRan1">#REF!</definedName>
    <definedName name="VBWSHRS">'[12]96isstoiss'!$C$98</definedName>
    <definedName name="vlook">'[13]LM 650b'!$D$1:$E$65536</definedName>
    <definedName name="Vo_adjust">'[6]NA Ford Mgmt Sum'!#REF!</definedName>
    <definedName name="Volumes">[4]Volumes!$A$7:$AE$90</definedName>
    <definedName name="VP_Test_Groups">#REF!</definedName>
    <definedName name="VP_Test_Groups_Ext">#REF!</definedName>
    <definedName name="vsdm">#REF!</definedName>
    <definedName name="wrn.All." hidden="1">{#N/A,#N/A,FALSE,"Summary Page";#N/A,#N/A,FALSE,"Backup Factory Order Request";#N/A,#N/A,FALSE,"Mix Updated to Include V227";#N/A,#N/A,FALSE,"2000 Bus Plan Status"}</definedName>
    <definedName name="wrn.COMPARISON." hidden="1">{"COMPARISON",#N/A,FALSE,"Sheet1"}</definedName>
    <definedName name="wrn.KKK._.Review." hidden="1">{#N/A,#N/A,FALSE,"Cover";#N/A,#N/A,FALSE,"Profits";#N/A,#N/A,FALSE,"ABS";#N/A,#N/A,FALSE,"TFLE Detail";#N/A,#N/A,FALSE,"TFLE Walk";#N/A,#N/A,FALSE,"Variable Cost";#N/A,#N/A,FALSE,"V.C. Walk"}</definedName>
    <definedName name="wrn.ocm_pkg." hidden="1">{#N/A,#N/A,FALSE,"Cover Sheet";#N/A,#N/A,FALSE,"Ave_Trans_Shp_Abs";#N/A,#N/A,FALSE,"Det_Shp_Abs";#N/A,#N/A,FALSE,"Ave_Trans_Inst_Abs";#N/A,#N/A,FALSE,"Det_Ins_Abs";#N/A,#N/A,FALSE,"Ave_Trans_Tot_ABS";#N/A,#N/A,FALSE,"Det_Total_ABS"}</definedName>
    <definedName name="wrn.Profit._.Analysis." hidden="1">{#N/A,#N/A,FALSE,"Profit Status";#N/A,#N/A,FALSE,"Invest";#N/A,#N/A,FALSE,"Revenue";#N/A,#N/A,FALSE,"Variable Cost";#N/A,#N/A,FALSE,"Options &amp; Series"}</definedName>
    <definedName name="wrn.REVISED." hidden="1">{"REVISED",#N/A,FALSE,"Sheet1"}</definedName>
    <definedName name="wrn.VC2._.and._.VC3._.Thunderbird.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xc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xx" hidden="1">{#N/A,#N/A,FALSE,"Assumptions";#N/A,#N/A,FALSE,"Volumes";#N/A,#N/A,FALSE,"Pricing";#N/A,#N/A,FALSE,"Variable Cost";#N/A,#N/A,FALSE,"Investment";#N/A,#N/A,FALSE,"Profitability";#N/A,#N/A,FALSE,"Business Comparison"}</definedName>
    <definedName name="xxxxxxx">#REF!</definedName>
    <definedName name="xy" hidden="1">{#N/A,#N/A,FALSE,"Cover";#N/A,#N/A,FALSE,"Profits";#N/A,#N/A,FALSE,"ABS";#N/A,#N/A,FALSE,"TFLE Detail";#N/A,#N/A,FALSE,"TFLE Walk";#N/A,#N/A,FALSE,"Variable Cost";#N/A,#N/A,FALSE,"V.C. Walk"}</definedName>
    <definedName name="y_t_d_bw_obj">'[2]Do not print- input'!$Z$1:$Z$65536</definedName>
    <definedName name="Y_T_D_savings">'[2]Do not print- input'!$X$1:$X$65536</definedName>
    <definedName name="years5">#REF!</definedName>
    <definedName name="years8">#REF!</definedName>
    <definedName name="yx" hidden="1">{#N/A,#N/A,FALSE,"Profit Status";#N/A,#N/A,FALSE,"Invest";#N/A,#N/A,FALSE,"Revenue";#N/A,#N/A,FALSE,"Variable Cost";#N/A,#N/A,FALSE,"Options &amp; Series"}</definedName>
    <definedName name="yyyyyy">#REF!</definedName>
    <definedName name="zzz" hidden="1">{#N/A,#N/A,FALSE,"Profit Status";#N/A,#N/A,FALSE,"Invest";#N/A,#N/A,FALSE,"Revenue";#N/A,#N/A,FALSE,"Variable Cost";#N/A,#N/A,FALSE,"Options &amp; Series"}</definedName>
  </definedNames>
  <calcPr calcId="152511"/>
</workbook>
</file>

<file path=xl/calcChain.xml><?xml version="1.0" encoding="utf-8"?>
<calcChain xmlns="http://schemas.openxmlformats.org/spreadsheetml/2006/main">
  <c r="C31" i="14" l="1"/>
  <c r="A2" i="12" l="1"/>
  <c r="C20" i="14" l="1"/>
  <c r="C21" i="14"/>
  <c r="C19" i="14"/>
  <c r="D37" i="12" l="1"/>
  <c r="C30" i="14" l="1"/>
  <c r="C16" i="14"/>
  <c r="E3" i="9" l="1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B3" i="12" l="1"/>
  <c r="B20" i="12"/>
  <c r="B38" i="12"/>
  <c r="C18" i="14" l="1"/>
  <c r="C17" i="14"/>
  <c r="C15" i="14"/>
  <c r="C14" i="14"/>
  <c r="C13" i="14"/>
  <c r="C12" i="14"/>
  <c r="C11" i="14"/>
  <c r="C10" i="14"/>
  <c r="B48" i="12"/>
  <c r="E2" i="9" l="1"/>
  <c r="A1" i="12" l="1"/>
  <c r="A35" i="12" l="1"/>
  <c r="A34" i="12"/>
  <c r="A33" i="12"/>
  <c r="A32" i="12"/>
  <c r="A31" i="12"/>
  <c r="B49" i="12" l="1"/>
  <c r="B15" i="12"/>
  <c r="B14" i="12"/>
  <c r="B5" i="12"/>
  <c r="C1" i="14" l="1"/>
  <c r="B10" i="12" l="1"/>
  <c r="D49" i="12"/>
  <c r="D45" i="12"/>
  <c r="D44" i="12"/>
  <c r="D43" i="12"/>
  <c r="D42" i="12"/>
  <c r="D41" i="12"/>
  <c r="D40" i="12"/>
  <c r="D39" i="12"/>
  <c r="D38" i="12"/>
  <c r="B46" i="12"/>
  <c r="B45" i="12"/>
  <c r="B44" i="12"/>
  <c r="B43" i="12"/>
  <c r="B42" i="12"/>
  <c r="B41" i="12"/>
  <c r="B40" i="12"/>
  <c r="B39" i="12"/>
  <c r="B37" i="12"/>
  <c r="D29" i="12"/>
  <c r="D28" i="12"/>
  <c r="D26" i="12"/>
  <c r="D25" i="12"/>
  <c r="D24" i="12"/>
  <c r="D23" i="12"/>
  <c r="D22" i="12"/>
  <c r="B30" i="12"/>
  <c r="B29" i="12"/>
  <c r="B28" i="12"/>
  <c r="B27" i="12"/>
  <c r="B26" i="12"/>
  <c r="B25" i="12"/>
  <c r="B24" i="12"/>
  <c r="B23" i="12"/>
  <c r="B22" i="12"/>
  <c r="D20" i="12"/>
  <c r="D19" i="12"/>
  <c r="B19" i="12"/>
  <c r="D15" i="12"/>
  <c r="D13" i="12"/>
  <c r="D10" i="12"/>
  <c r="D9" i="12"/>
  <c r="D8" i="12"/>
  <c r="D6" i="12"/>
  <c r="B13" i="12"/>
  <c r="B12" i="12"/>
  <c r="B11" i="12"/>
  <c r="B6" i="12"/>
  <c r="B7" i="12"/>
  <c r="B8" i="12"/>
  <c r="B9" i="12"/>
</calcChain>
</file>

<file path=xl/sharedStrings.xml><?xml version="1.0" encoding="utf-8"?>
<sst xmlns="http://schemas.openxmlformats.org/spreadsheetml/2006/main" count="773" uniqueCount="671">
  <si>
    <t>VEHICLE</t>
  </si>
  <si>
    <t>ENGINE TYPE</t>
  </si>
  <si>
    <t>ENGINE POWER</t>
  </si>
  <si>
    <t>TRANSMISSION TYPE</t>
  </si>
  <si>
    <t>EMISSION</t>
  </si>
  <si>
    <t>A/C COOLING FLUID AMOUNT</t>
  </si>
  <si>
    <t>A/C COOLING FLUID SPEC</t>
  </si>
  <si>
    <t>TOWING HOOK</t>
  </si>
  <si>
    <t>ABS</t>
  </si>
  <si>
    <t>BRAKE FLUID SPECIFICATION</t>
  </si>
  <si>
    <t>BRAKE MEASUREMENTS</t>
  </si>
  <si>
    <t>HILL LAUNCH ASSIST</t>
  </si>
  <si>
    <t>INVOICE TIRES</t>
  </si>
  <si>
    <t>IVD</t>
  </si>
  <si>
    <t>PAS</t>
  </si>
  <si>
    <t>PAS OIL SPECIFICATION</t>
  </si>
  <si>
    <t>RIM SIZE</t>
  </si>
  <si>
    <t>RIM TYPE</t>
  </si>
  <si>
    <t>SERIAL TIRES</t>
  </si>
  <si>
    <t>TORQUE WHEELNUTS</t>
  </si>
  <si>
    <t>TRACTION CONTROL</t>
  </si>
  <si>
    <t>TYRE MAKE</t>
  </si>
  <si>
    <t>TYRE MEASUREMENTS</t>
  </si>
  <si>
    <t>TYRE PRESSURE FRONT LADEN</t>
  </si>
  <si>
    <t>TYRE PRESSURE FRONT UNLADEN</t>
  </si>
  <si>
    <t>TYRE PRESSURE REAR LADEN</t>
  </si>
  <si>
    <t>TYRE PRESSURE REAR UNLADEN</t>
  </si>
  <si>
    <t>TYRE SIZE</t>
  </si>
  <si>
    <t>WHEELG. CAMBER FRONT MAXIMAL</t>
  </si>
  <si>
    <t>WHEELG. CAMBER FRONT MINIMAL</t>
  </si>
  <si>
    <t>WHEELG. CAMBER FRONT NOMINAL</t>
  </si>
  <si>
    <t>WHEELG. CAMBER REAR MAXIMAL</t>
  </si>
  <si>
    <t>WHEELG. CAMBER REAR MINIMAL</t>
  </si>
  <si>
    <t>WHEELG. CAMBER REAR NOMINAL</t>
  </si>
  <si>
    <t>WHEELG. CASTER FRONT MAXIMAL</t>
  </si>
  <si>
    <t>WHEELG. CASTER FRONT MINIMAL</t>
  </si>
  <si>
    <t>WHEELG. CASTER FRONT NOMINAL</t>
  </si>
  <si>
    <t>WHEELG. TOE FRONT MAXIMAL</t>
  </si>
  <si>
    <t>WHEELG. TOE FRONT MINIMAL</t>
  </si>
  <si>
    <t>WHEELG. TOE FRONT NOMINAL</t>
  </si>
  <si>
    <t>WHEELG. TOE REAR MAXIMAL</t>
  </si>
  <si>
    <t>WHEELG. TOE REAR MINIMAL</t>
  </si>
  <si>
    <t>WHEELG. TOE REAR NOMINAL</t>
  </si>
  <si>
    <t>ADD OIL</t>
  </si>
  <si>
    <t>AUTOMATIC BELT TENSION</t>
  </si>
  <si>
    <t>COOLING FLUID SPECIFICATION</t>
  </si>
  <si>
    <t>ENGINE NUMBER</t>
  </si>
  <si>
    <t>ENGINE OIL INVOICE</t>
  </si>
  <si>
    <t>ENGINE OIL SPECIFICATION</t>
  </si>
  <si>
    <t>ENGINE OILFILTER</t>
  </si>
  <si>
    <t>FUEL MEASUREMENT</t>
  </si>
  <si>
    <t>FUEL SPECIFICATION</t>
  </si>
  <si>
    <t>IDLE RPM</t>
  </si>
  <si>
    <t>MAX POWER RPM</t>
  </si>
  <si>
    <t>MAX RPM</t>
  </si>
  <si>
    <t>MAX SHIFT RPM</t>
  </si>
  <si>
    <t>MAX TORQUE</t>
  </si>
  <si>
    <t>MAX TORQUE RPM</t>
  </si>
  <si>
    <t>MOTOROLIE BIJVULLEN</t>
  </si>
  <si>
    <t>OIL MEASUREMENTS</t>
  </si>
  <si>
    <t>PRODUCTION SPARK PLUGS</t>
  </si>
  <si>
    <t>DIFFERENTIAL FRONT - NUMBER</t>
  </si>
  <si>
    <t>DIFFERENTIAL FRONT - OIL SPEC</t>
  </si>
  <si>
    <t>DIFFERENTIAL REAR - FINALDRIVE</t>
  </si>
  <si>
    <t>DIFFERENTIAL REAR - OIL AMNT</t>
  </si>
  <si>
    <t>DRIVESHAFT - NUMBER OF PIECES</t>
  </si>
  <si>
    <t>DRIVESHAFT NUMBER</t>
  </si>
  <si>
    <t>FRONT AXLE NUMBER</t>
  </si>
  <si>
    <t>REAR AXLE NUMBER</t>
  </si>
  <si>
    <t>TRANSFER BOX OIL AMOUNT</t>
  </si>
  <si>
    <t>TRANSFER BOX OIL SPECIFICATION</t>
  </si>
  <si>
    <t>A/C KOELVLOEISTOF HOEVEELHEID</t>
  </si>
  <si>
    <t>A/C KOELVLOEISTOF SPECIFICATIE</t>
  </si>
  <si>
    <t>TREKHAAK</t>
  </si>
  <si>
    <t>BANDENDRUK ACHTER BELADEN</t>
  </si>
  <si>
    <t>BANDENDRUK ACHTER LEEG</t>
  </si>
  <si>
    <t>BANDENDRUK VOOR BELADEN</t>
  </si>
  <si>
    <t>BANDENDRUK VOOR LEEG</t>
  </si>
  <si>
    <t>BANDMAAT</t>
  </si>
  <si>
    <t>BANDMERK</t>
  </si>
  <si>
    <t>DRAAIMOMENT WIELMOEREN</t>
  </si>
  <si>
    <t>MEETBANDEN</t>
  </si>
  <si>
    <t>MEETREMMEN</t>
  </si>
  <si>
    <t>PAS OLIE SPECIFICATIE</t>
  </si>
  <si>
    <t>REKENING BANDEN</t>
  </si>
  <si>
    <t>REMVLOEISTOF SPECIFICATIE</t>
  </si>
  <si>
    <t>SERIEBANDEN</t>
  </si>
  <si>
    <t>SERVOSTUUR</t>
  </si>
  <si>
    <t>VELG TYPE</t>
  </si>
  <si>
    <t>VELGMAAT</t>
  </si>
  <si>
    <t>WIELG. CAMBER ACHTER MAXIMAAL</t>
  </si>
  <si>
    <t>WIELG. CAMBER ACHTER MINIMAAL</t>
  </si>
  <si>
    <t>WIELG. CAMBER ACHTER NOMINAAL</t>
  </si>
  <si>
    <t>WIELG. CAMBER VOOR MAXIMAAL</t>
  </si>
  <si>
    <t>WIELG. CAMBER VOOR MINIMAAL</t>
  </si>
  <si>
    <t>WIELG. CAMBER VOOR NOMINAAL</t>
  </si>
  <si>
    <t>WIELG. CASTER VOOR MAXIMAAL</t>
  </si>
  <si>
    <t>WIELG. CASTER VOOR MINIMAAL</t>
  </si>
  <si>
    <t>WIELG. CASTER VOOR NOMINAAL</t>
  </si>
  <si>
    <t>WIELG. TOE-IN ACHTER MAXIMAAL</t>
  </si>
  <si>
    <t>WIELG. TOE-IN ACHTER MINIMAAL</t>
  </si>
  <si>
    <t>WIELG. TOE-IN ACHTER NOMINAAL</t>
  </si>
  <si>
    <t>WIELG. TOE-IN VOOR MAXIMAAL</t>
  </si>
  <si>
    <t>WIELG. TOE-IN VOOR MINIMAAL</t>
  </si>
  <si>
    <t>WIELG. TOE-IN VOOR NOMINAAL</t>
  </si>
  <si>
    <t>AUTOMATISCHE RIEMSPANNING</t>
  </si>
  <si>
    <t>BOUGIE TYPE 1</t>
  </si>
  <si>
    <t>BOUGIE TYPE 1 CYLINDER 1</t>
  </si>
  <si>
    <t>BOUGIE TYPE 1 CYLINDER 2</t>
  </si>
  <si>
    <t>BOUGIE TYPE 1 CYLINDER 3</t>
  </si>
  <si>
    <t>BOUGIE TYPE 1 CYLINDER 4</t>
  </si>
  <si>
    <t>BOUGIE TYPE 1 CYLINDER 5</t>
  </si>
  <si>
    <t>BOUGIE TYPE 1 CYLINDER 6</t>
  </si>
  <si>
    <t>BOUGIE TYPE 1 ELEKTRODEN AFST</t>
  </si>
  <si>
    <t>BOUGIE TYPE 2</t>
  </si>
  <si>
    <t>BOUGIE TYPE 2 CYLINDER 1</t>
  </si>
  <si>
    <t>BOUGIE TYPE 2 CYLINDER 2</t>
  </si>
  <si>
    <t>BOUGIE TYPE 2 CYLINDER 3</t>
  </si>
  <si>
    <t>BOUGIE TYPE 2 CYLINDER 4</t>
  </si>
  <si>
    <t>BOUGIE TYPE 2 CYLINDER 5</t>
  </si>
  <si>
    <t>BOUGIE TYPE 2 CYLINDER 6</t>
  </si>
  <si>
    <t>BOUGIE TYPE 2 ELEKTRODEN AFST</t>
  </si>
  <si>
    <t>BRANDSTOF SPECIFICATIE</t>
  </si>
  <si>
    <t>BRANDSTOFMETING</t>
  </si>
  <si>
    <t>KOELVLOEISTOF SPECIFICATIE</t>
  </si>
  <si>
    <t>MAX DRAAIMOMENT</t>
  </si>
  <si>
    <t>MAX DRAAIMOMENT TOERENTAL</t>
  </si>
  <si>
    <t>MAX SCHAKELTOERENTAL</t>
  </si>
  <si>
    <t>MAX TOERENTAL</t>
  </si>
  <si>
    <t>MAX VERMOGEN TOERENTAL</t>
  </si>
  <si>
    <t>MOTOR DEELNUMMER</t>
  </si>
  <si>
    <t>MOTOR OLIEFILTER</t>
  </si>
  <si>
    <t>MOTOR SERIENUMMER</t>
  </si>
  <si>
    <t>MOTOROLIE REKENING</t>
  </si>
  <si>
    <t>MOTOROLIE SPECIFICATIE</t>
  </si>
  <si>
    <t>OLIEMETING</t>
  </si>
  <si>
    <t>SERIE BOUGIES</t>
  </si>
  <si>
    <t>SERIE MOTOR OLIEFILTER</t>
  </si>
  <si>
    <t>TRAAGLOOP TOERENTAL</t>
  </si>
  <si>
    <t>ACHTERAS NUMMER</t>
  </si>
  <si>
    <t>DIFFERENTIEEL ACHTER-EINDOVERZ</t>
  </si>
  <si>
    <t>DIFFERENTIEEL ACHTER-NUMMER</t>
  </si>
  <si>
    <t>DIFFERENTIEEL ACHTER-OLIE HOEV</t>
  </si>
  <si>
    <t>DIFFERENTIEEL ACHTER-OLIE SPEC</t>
  </si>
  <si>
    <t>DIFFERENTIEEL VOOR - EINDOVERZ</t>
  </si>
  <si>
    <t>DIFFERENTIEEL VOOR - NUMMER</t>
  </si>
  <si>
    <t>DIFFERENTIEEL VOOR - OLIE HOEV</t>
  </si>
  <si>
    <t>DIFFERENTIEEL VOOR - OLIE SPEC</t>
  </si>
  <si>
    <t>KARDANAS - AANTAL DELEN</t>
  </si>
  <si>
    <t>KARDANAS NUMMER</t>
  </si>
  <si>
    <t>TRANSFER BOX OLIE HOEVEELH</t>
  </si>
  <si>
    <t>TRANSFER BOX OLIE SPEC</t>
  </si>
  <si>
    <t>VERSNELLINGSBAK DEELNUMMER</t>
  </si>
  <si>
    <t>VERSNELLINGSBAK OLIE HOEVEELH</t>
  </si>
  <si>
    <t>VERSNELLINGSBAK OLIE SPEC</t>
  </si>
  <si>
    <t>VOORAS NUMMER</t>
  </si>
  <si>
    <t>SPARK PLUG TYPE 1</t>
  </si>
  <si>
    <t>SPARK PLUG TYPE 1 CYLINDER 1</t>
  </si>
  <si>
    <t>SPARK PLUG TYPE 1 CYLINDER 2</t>
  </si>
  <si>
    <t>SPARK PLUG TYPE 1 CYLINDER 3</t>
  </si>
  <si>
    <t>SPARK PLUG TYPE 1 CYLINDER 4</t>
  </si>
  <si>
    <t>SPARK PLUG TYPE 1 CYLINDER 5</t>
  </si>
  <si>
    <t>SPARK PLUG TYPE 1 CYLINDER 6</t>
  </si>
  <si>
    <t>SPARK PLUG TYPE 1 ELECTR GAP</t>
  </si>
  <si>
    <t>SPARK PLUG TYPE 2</t>
  </si>
  <si>
    <t>SPARK PLUG TYPE 2 CYLINDER 1</t>
  </si>
  <si>
    <t>SPARK PLUG TYPE 2 CYLINDER 2</t>
  </si>
  <si>
    <t>SPARK PLUG TYPE 2 CYLINDER 3</t>
  </si>
  <si>
    <t>SPARK PLUG TYPE 2 CYLINDER 4</t>
  </si>
  <si>
    <t>SPARK PLUG TYPE 2 CYLINDER 5</t>
  </si>
  <si>
    <t>SPARK PLUG TYPE 2 CYLINDER 6</t>
  </si>
  <si>
    <t>SPARK PLUG TYPE 2 ELECTR GAP</t>
  </si>
  <si>
    <t>ENGINE SERIAL NUMBER</t>
  </si>
  <si>
    <t>DIFFERENTIAL REAR - NUMBER</t>
  </si>
  <si>
    <t>DIFFERENTIAL REAR - OIL SPEC</t>
  </si>
  <si>
    <t>DIFFERENTIAL FRONT -FINALDRIVE</t>
  </si>
  <si>
    <t>DIFFERENTIAL FRONT - OIL AMNT</t>
  </si>
  <si>
    <t>BODY STYLE</t>
  </si>
  <si>
    <t>***GARAGE***</t>
  </si>
  <si>
    <t>********RIJTEST INFO********</t>
  </si>
  <si>
    <t>BRANDSTOF</t>
  </si>
  <si>
    <t>********GARAGE INFO********</t>
  </si>
  <si>
    <t>KAROSSERIE</t>
  </si>
  <si>
    <t>OPHANGING</t>
  </si>
  <si>
    <t>MOTOR</t>
  </si>
  <si>
    <t>AANDRIJFLIJN</t>
  </si>
  <si>
    <t>VERMOGEN</t>
  </si>
  <si>
    <t>VERSNELLINGSBAK</t>
  </si>
  <si>
    <t>EMISSIE</t>
  </si>
  <si>
    <t>USER INPUT</t>
  </si>
  <si>
    <t>WAGENNUMMER</t>
  </si>
  <si>
    <t>TEST</t>
  </si>
  <si>
    <t>EMPTY</t>
  </si>
  <si>
    <t>OPTION 803</t>
  </si>
  <si>
    <t>OPTION 805</t>
  </si>
  <si>
    <t>OPTION 802</t>
  </si>
  <si>
    <t>OPTION 804</t>
  </si>
  <si>
    <t>OPTION 886</t>
  </si>
  <si>
    <t>OPTION 890</t>
  </si>
  <si>
    <t>OPTION 887</t>
  </si>
  <si>
    <t>OPTION 888</t>
  </si>
  <si>
    <t>OPTION 883</t>
  </si>
  <si>
    <t>OPTION 774</t>
  </si>
  <si>
    <t>OPTION 1116</t>
  </si>
  <si>
    <t>OPTION 799</t>
  </si>
  <si>
    <t>OBJ_STEERING_LOC</t>
  </si>
  <si>
    <t>OBJ_ODO_UNIT</t>
  </si>
  <si>
    <t>DRIVE</t>
  </si>
  <si>
    <t>Locatie vehspecifications file:</t>
  </si>
  <si>
    <t>STEERING LOCATION</t>
  </si>
  <si>
    <t>BODYSTYLE</t>
  </si>
  <si>
    <t>HILL-LAUNCH ASSIST</t>
  </si>
  <si>
    <t>1.001GEN</t>
  </si>
  <si>
    <t>1.002GEN</t>
  </si>
  <si>
    <t>1.003GEN</t>
  </si>
  <si>
    <t>1.004GEN</t>
  </si>
  <si>
    <t>1.005GEN</t>
  </si>
  <si>
    <t>1.006GEN</t>
  </si>
  <si>
    <t>1.007GEN</t>
  </si>
  <si>
    <t>1.008GEN</t>
  </si>
  <si>
    <t>1.009GEN</t>
  </si>
  <si>
    <t>FUEL TYPE</t>
  </si>
  <si>
    <t>1.010GEN</t>
  </si>
  <si>
    <t>1.011GEN</t>
  </si>
  <si>
    <t>AIR CONDITIONING OIL</t>
  </si>
  <si>
    <t>AUDIO CODE</t>
  </si>
  <si>
    <t>TRANSFER BOX / PTU NUMBER</t>
  </si>
  <si>
    <t>TRANSFER BOX / PTU NUMMER</t>
  </si>
  <si>
    <t>A/C OLIE</t>
  </si>
  <si>
    <t>DIAGNOSTICS ROUTINE</t>
  </si>
  <si>
    <t>DIAGNOSE ROUTINE</t>
  </si>
  <si>
    <t>VERSNELLINGSBAK.0 SERIE NR</t>
  </si>
  <si>
    <t>2.001BODY</t>
  </si>
  <si>
    <t>2.002BODY</t>
  </si>
  <si>
    <t>2.003BODY</t>
  </si>
  <si>
    <t>2.005BODY</t>
  </si>
  <si>
    <t>2.004BODY</t>
  </si>
  <si>
    <t>PRODUCTION ENG OILFILTER</t>
  </si>
  <si>
    <t>STUUR</t>
  </si>
  <si>
    <t>ENGINE SIZE (L)</t>
  </si>
  <si>
    <t>4.001ENG</t>
  </si>
  <si>
    <t>4.002ENG</t>
  </si>
  <si>
    <t>4.003ENG</t>
  </si>
  <si>
    <t>4.004ENG</t>
  </si>
  <si>
    <t>4.005ENG</t>
  </si>
  <si>
    <t>4.006ENG</t>
  </si>
  <si>
    <t>4.007ENG</t>
  </si>
  <si>
    <t>4.008ENG</t>
  </si>
  <si>
    <t>4.009ENG</t>
  </si>
  <si>
    <t>4.010ENG</t>
  </si>
  <si>
    <t>4.011ENG</t>
  </si>
  <si>
    <t>4.012ENG</t>
  </si>
  <si>
    <t>4.013ENG</t>
  </si>
  <si>
    <t>4.014ENG</t>
  </si>
  <si>
    <t>4.015ENG</t>
  </si>
  <si>
    <t>4.016ENG</t>
  </si>
  <si>
    <t>4.017ENG</t>
  </si>
  <si>
    <t>4.019ENG</t>
  </si>
  <si>
    <t>4.027ENG</t>
  </si>
  <si>
    <t>4.029ENG</t>
  </si>
  <si>
    <t>4.030ENG</t>
  </si>
  <si>
    <t>4.031ENG</t>
  </si>
  <si>
    <t>4.032ENG</t>
  </si>
  <si>
    <t>4.033ENG</t>
  </si>
  <si>
    <t>4.034ENG</t>
  </si>
  <si>
    <t>4.035ENG</t>
  </si>
  <si>
    <t>4.036ENG</t>
  </si>
  <si>
    <t>1.012GEN</t>
  </si>
  <si>
    <t>DIESEL / BENZINE / ELECT</t>
  </si>
  <si>
    <t>PARKING SPOT</t>
  </si>
  <si>
    <t>TRANSMISSION MAN/AUTO</t>
  </si>
  <si>
    <t>PARKEERPLAATS</t>
  </si>
  <si>
    <t>INHOUD</t>
  </si>
  <si>
    <t>MANUEEL/AUTOMITSCH</t>
  </si>
  <si>
    <t>BRANDSTOFSPECIFICATIE</t>
  </si>
  <si>
    <t>3.001CHAS</t>
  </si>
  <si>
    <t>3.002CHAS</t>
  </si>
  <si>
    <t>3.003CHAS</t>
  </si>
  <si>
    <t>3.004CHAS</t>
  </si>
  <si>
    <t>3.005CHAS</t>
  </si>
  <si>
    <t>3.006CHAS</t>
  </si>
  <si>
    <t>3.007CHAS</t>
  </si>
  <si>
    <t>3.008CHAS</t>
  </si>
  <si>
    <t>3.009CHAS</t>
  </si>
  <si>
    <t>3.010CHAS</t>
  </si>
  <si>
    <t>3.011CHAS</t>
  </si>
  <si>
    <t>3.012CHAS</t>
  </si>
  <si>
    <t>3.013CHAS</t>
  </si>
  <si>
    <t>3.014CHAS</t>
  </si>
  <si>
    <t>3.015CHAS</t>
  </si>
  <si>
    <t>3.016CHAS</t>
  </si>
  <si>
    <t>3.017CHAS</t>
  </si>
  <si>
    <t>3.018CHAS</t>
  </si>
  <si>
    <t>3.019CHAS</t>
  </si>
  <si>
    <t>3.020CHAS</t>
  </si>
  <si>
    <t>3.021CHAS</t>
  </si>
  <si>
    <t>3.022CHAS</t>
  </si>
  <si>
    <t>3.023CHAS</t>
  </si>
  <si>
    <t>3.024CHAS</t>
  </si>
  <si>
    <t>3.025CHAS</t>
  </si>
  <si>
    <t>3.026CHAS</t>
  </si>
  <si>
    <t>3.027CHAS</t>
  </si>
  <si>
    <t>3.028CHAS</t>
  </si>
  <si>
    <t>3.029CHAS</t>
  </si>
  <si>
    <t>3.030CHAS</t>
  </si>
  <si>
    <t>3.031CHAS</t>
  </si>
  <si>
    <t>3.032CHAS</t>
  </si>
  <si>
    <t>3.033CHAS</t>
  </si>
  <si>
    <t>3.034CHAS</t>
  </si>
  <si>
    <t>3.035CHAS</t>
  </si>
  <si>
    <t>4.020ENG</t>
  </si>
  <si>
    <t>4.021ENG</t>
  </si>
  <si>
    <t>4.022ENG</t>
  </si>
  <si>
    <t>4.023ENG</t>
  </si>
  <si>
    <t>4.024ENG</t>
  </si>
  <si>
    <t>4.025ENG</t>
  </si>
  <si>
    <t>4.026ENG</t>
  </si>
  <si>
    <t>4.028ENG</t>
  </si>
  <si>
    <t>5.001TRAN</t>
  </si>
  <si>
    <t>5.002TRAN</t>
  </si>
  <si>
    <t>5.003TRAN</t>
  </si>
  <si>
    <t>5.004TRAN</t>
  </si>
  <si>
    <t>5.005TRAN</t>
  </si>
  <si>
    <t>5.006TRAN</t>
  </si>
  <si>
    <t>5.007TRAN</t>
  </si>
  <si>
    <t>5.008TRAN</t>
  </si>
  <si>
    <t>5.009TRAN</t>
  </si>
  <si>
    <t>5.010TRAN</t>
  </si>
  <si>
    <t>5.011TRAN</t>
  </si>
  <si>
    <t>5.012TRAN</t>
  </si>
  <si>
    <t>5.013TRAN</t>
  </si>
  <si>
    <t>5.014TRAN</t>
  </si>
  <si>
    <t>5.015TRAN</t>
  </si>
  <si>
    <t>5.016TRAN</t>
  </si>
  <si>
    <t>5.017TRAN</t>
  </si>
  <si>
    <t>5.018TRAN</t>
  </si>
  <si>
    <t>5.019TRAN</t>
  </si>
  <si>
    <t>Category</t>
  </si>
  <si>
    <t>Specification (English)</t>
  </si>
  <si>
    <t>Specification (Dutch)</t>
  </si>
  <si>
    <t>Values</t>
  </si>
  <si>
    <t>Bulk upload</t>
  </si>
  <si>
    <t>W:\Durability\002 ADMIN</t>
  </si>
  <si>
    <t>TRANSMISSION NUMBER</t>
  </si>
  <si>
    <t>TRANSMISSION OIL AMOUNT</t>
  </si>
  <si>
    <t>TRANSMISSION OIL SPECIFICATION</t>
  </si>
  <si>
    <t>TRANSMISSION SERIAL NR</t>
  </si>
  <si>
    <t>ST6</t>
  </si>
  <si>
    <t>5 DOOR</t>
  </si>
  <si>
    <t>R134A</t>
  </si>
  <si>
    <t>Y</t>
  </si>
  <si>
    <t>2.8+0.3 = 3.1</t>
  </si>
  <si>
    <t>2.1+0.3=2.4</t>
  </si>
  <si>
    <t>205/55 R16 94V</t>
  </si>
  <si>
    <t>130Nm = NOM = Groen (CHECKWAARDE = 100Nm)</t>
  </si>
  <si>
    <t>EPAS</t>
  </si>
  <si>
    <t>ISO 4925 CLASS 6, DOT4</t>
  </si>
  <si>
    <t>A</t>
  </si>
  <si>
    <t>16 "</t>
  </si>
  <si>
    <t>WSS-M97B44-D (ROOD)</t>
  </si>
  <si>
    <t>DET</t>
  </si>
  <si>
    <t>B</t>
  </si>
  <si>
    <t>FOX 1.0 GTDI</t>
  </si>
  <si>
    <t>N</t>
  </si>
  <si>
    <t>2.4+0.3 = 2.7</t>
  </si>
  <si>
    <t>170 Nm</t>
  </si>
  <si>
    <t>1500-4000</t>
  </si>
  <si>
    <t>9W7E-6714-AA</t>
  </si>
  <si>
    <t>840-860</t>
  </si>
  <si>
    <t>1.0 L</t>
  </si>
  <si>
    <t>JA / STAAL:JA  / VERZ.: NEEN</t>
  </si>
  <si>
    <t>A1KAA</t>
  </si>
  <si>
    <t>A2TAA</t>
  </si>
  <si>
    <t>A3EAA</t>
  </si>
  <si>
    <t>ACLAA</t>
  </si>
  <si>
    <t>B2GAB</t>
  </si>
  <si>
    <t>B2TAA</t>
  </si>
  <si>
    <t>B3MAB</t>
  </si>
  <si>
    <t>BCHAB</t>
  </si>
  <si>
    <t>BDIAK</t>
  </si>
  <si>
    <t>BHLAA</t>
  </si>
  <si>
    <t>BLYAA</t>
  </si>
  <si>
    <t>BPFAJ</t>
  </si>
  <si>
    <t>BWCAK</t>
  </si>
  <si>
    <t>BYPAD</t>
  </si>
  <si>
    <t>C1QAA</t>
  </si>
  <si>
    <t>CANAB</t>
  </si>
  <si>
    <t>CHAAA</t>
  </si>
  <si>
    <t>CJHAA</t>
  </si>
  <si>
    <t>CLFB5</t>
  </si>
  <si>
    <t>CP1AB</t>
  </si>
  <si>
    <t>CPMAB</t>
  </si>
  <si>
    <t>DAGAB</t>
  </si>
  <si>
    <t>DAQAA</t>
  </si>
  <si>
    <t>DECAU</t>
  </si>
  <si>
    <t>FEAAP</t>
  </si>
  <si>
    <t>GBXAA</t>
  </si>
  <si>
    <t>J4QAA</t>
  </si>
  <si>
    <t>JBBAB</t>
  </si>
  <si>
    <t>A54AB</t>
  </si>
  <si>
    <t>A5FAB</t>
  </si>
  <si>
    <t>A64AA</t>
  </si>
  <si>
    <t>A7FAB</t>
  </si>
  <si>
    <t>AAGAT</t>
  </si>
  <si>
    <t>AAWAB</t>
  </si>
  <si>
    <t>AB5AA</t>
  </si>
  <si>
    <t>AD4AB</t>
  </si>
  <si>
    <t>ADIAB</t>
  </si>
  <si>
    <t>AE1AA</t>
  </si>
  <si>
    <t>AE8AZ</t>
  </si>
  <si>
    <t>AEUAA</t>
  </si>
  <si>
    <t>AGBAA</t>
  </si>
  <si>
    <t>AHCAA</t>
  </si>
  <si>
    <t>B5AAA</t>
  </si>
  <si>
    <t>B5KAB</t>
  </si>
  <si>
    <t>BCFAF</t>
  </si>
  <si>
    <t>BCJAB</t>
  </si>
  <si>
    <t>BCPAC</t>
  </si>
  <si>
    <t>BD9AA</t>
  </si>
  <si>
    <t>BDCAB</t>
  </si>
  <si>
    <t>BDEAA</t>
  </si>
  <si>
    <t>BDFAA</t>
  </si>
  <si>
    <t>BDHAA</t>
  </si>
  <si>
    <t>BEGAA</t>
  </si>
  <si>
    <t>BMDAF</t>
  </si>
  <si>
    <t>BMSAA</t>
  </si>
  <si>
    <t>BMWAA</t>
  </si>
  <si>
    <t>BSLAC</t>
  </si>
  <si>
    <t>BU6AB</t>
  </si>
  <si>
    <t>BU7AB</t>
  </si>
  <si>
    <t>BVRAC</t>
  </si>
  <si>
    <t>BVSAF</t>
  </si>
  <si>
    <t>BVTAF</t>
  </si>
  <si>
    <t>BVWAA</t>
  </si>
  <si>
    <t>BW2AA</t>
  </si>
  <si>
    <t>BWBAD</t>
  </si>
  <si>
    <t>BWEAD</t>
  </si>
  <si>
    <t>BWJAB</t>
  </si>
  <si>
    <t>BY5AJ</t>
  </si>
  <si>
    <t>C1UAB</t>
  </si>
  <si>
    <t>C1VAB</t>
  </si>
  <si>
    <t>C1ZAA</t>
  </si>
  <si>
    <t>C2DAB</t>
  </si>
  <si>
    <t>C7SAB</t>
  </si>
  <si>
    <t>CAAAC</t>
  </si>
  <si>
    <t>CACAC</t>
  </si>
  <si>
    <t>CAQAB</t>
  </si>
  <si>
    <t>CB1AA</t>
  </si>
  <si>
    <t>CBFAB</t>
  </si>
  <si>
    <t>CBMAD</t>
  </si>
  <si>
    <t>CFEAC</t>
  </si>
  <si>
    <t>CFGAB</t>
  </si>
  <si>
    <t>CFKAA</t>
  </si>
  <si>
    <t>CHBAA</t>
  </si>
  <si>
    <t>CLHAA</t>
  </si>
  <si>
    <t>CLMAK</t>
  </si>
  <si>
    <t>CLSAA</t>
  </si>
  <si>
    <t>CP2AB</t>
  </si>
  <si>
    <t>CP3AA</t>
  </si>
  <si>
    <t>CPAAG</t>
  </si>
  <si>
    <t>CPCAI</t>
  </si>
  <si>
    <t>CPGAB</t>
  </si>
  <si>
    <t>CPHAB</t>
  </si>
  <si>
    <t>CPNAB</t>
  </si>
  <si>
    <t>CPSAB</t>
  </si>
  <si>
    <t>CPTAB</t>
  </si>
  <si>
    <t>CPUAB</t>
  </si>
  <si>
    <t>D1GAB</t>
  </si>
  <si>
    <t>D5EAE</t>
  </si>
  <si>
    <t>DCBAA</t>
  </si>
  <si>
    <t>DWAAF</t>
  </si>
  <si>
    <t>F2AAC</t>
  </si>
  <si>
    <t>FBBAB</t>
  </si>
  <si>
    <t>FCBAD</t>
  </si>
  <si>
    <t>FCCAB</t>
  </si>
  <si>
    <t>G1FAE</t>
  </si>
  <si>
    <t>G2AAE</t>
  </si>
  <si>
    <t>GBTAG</t>
  </si>
  <si>
    <t>GBVAC</t>
  </si>
  <si>
    <t>GCDAC</t>
  </si>
  <si>
    <t>GCEAB</t>
  </si>
  <si>
    <t>GPAAJ</t>
  </si>
  <si>
    <t>GRAAF</t>
  </si>
  <si>
    <t>HEBAD</t>
  </si>
  <si>
    <t>HECAB</t>
  </si>
  <si>
    <t>HFAAA</t>
  </si>
  <si>
    <t>HIAAC</t>
  </si>
  <si>
    <t>HJFAA</t>
  </si>
  <si>
    <t>HKCAA</t>
  </si>
  <si>
    <t>HKDAB</t>
  </si>
  <si>
    <t>HKHAA</t>
  </si>
  <si>
    <t>HNDAF</t>
  </si>
  <si>
    <t>HTAAB</t>
  </si>
  <si>
    <t>IBTAA</t>
  </si>
  <si>
    <t>IEPAA</t>
  </si>
  <si>
    <t>IGBAB</t>
  </si>
  <si>
    <t>J3AAA</t>
  </si>
  <si>
    <t>J3KAA</t>
  </si>
  <si>
    <t>JBCAA</t>
  </si>
  <si>
    <t>JCLAB</t>
  </si>
  <si>
    <t>JCMAB</t>
  </si>
  <si>
    <t>JDDAB</t>
  </si>
  <si>
    <t>JDJAC</t>
  </si>
  <si>
    <t>JEAAB</t>
  </si>
  <si>
    <t>EW5S6377</t>
  </si>
  <si>
    <t>6F15</t>
  </si>
  <si>
    <t>AUTOMAAT</t>
  </si>
  <si>
    <t>FWD</t>
  </si>
  <si>
    <t>LHD</t>
  </si>
  <si>
    <t>WSS-M2C948-A 5W20</t>
  </si>
  <si>
    <t>WSS-M2C938-A</t>
  </si>
  <si>
    <t>3AGQ4</t>
  </si>
  <si>
    <t>978CE</t>
  </si>
  <si>
    <t>A1EAA</t>
  </si>
  <si>
    <t>A1GAA</t>
  </si>
  <si>
    <t>A1PAZ</t>
  </si>
  <si>
    <t>A2EAF</t>
  </si>
  <si>
    <t>AAKAA</t>
  </si>
  <si>
    <t>AALAA</t>
  </si>
  <si>
    <t>AB1BL</t>
  </si>
  <si>
    <t>AB1BW</t>
  </si>
  <si>
    <t>AB7AA</t>
  </si>
  <si>
    <t>AB9AA</t>
  </si>
  <si>
    <t>ABML1</t>
  </si>
  <si>
    <t>ACMAA</t>
  </si>
  <si>
    <t>ACXAA</t>
  </si>
  <si>
    <t>ADXAA</t>
  </si>
  <si>
    <t>AHTAC</t>
  </si>
  <si>
    <t>AHVAA</t>
  </si>
  <si>
    <t>B2BAC</t>
  </si>
  <si>
    <t>B2CAF</t>
  </si>
  <si>
    <t>B2DAG</t>
  </si>
  <si>
    <t>B2LAV</t>
  </si>
  <si>
    <t>B5GAA</t>
  </si>
  <si>
    <t>B5VAM</t>
  </si>
  <si>
    <t>B5WAP</t>
  </si>
  <si>
    <t>B5XAA</t>
  </si>
  <si>
    <t>BA7AX</t>
  </si>
  <si>
    <t>BA8AS</t>
  </si>
  <si>
    <t>BBHAE</t>
  </si>
  <si>
    <t>BBIAE</t>
  </si>
  <si>
    <t>BBUAA</t>
  </si>
  <si>
    <t>BBVAA</t>
  </si>
  <si>
    <t>BBZAX</t>
  </si>
  <si>
    <t>BCAAE</t>
  </si>
  <si>
    <t>BCBAE</t>
  </si>
  <si>
    <t>BCQAA</t>
  </si>
  <si>
    <t>BCVAB</t>
  </si>
  <si>
    <t>BD6AA</t>
  </si>
  <si>
    <t>BDJAA</t>
  </si>
  <si>
    <t>BDPAA</t>
  </si>
  <si>
    <t>BHNAA</t>
  </si>
  <si>
    <t>BL5AA</t>
  </si>
  <si>
    <t>BLDAA</t>
  </si>
  <si>
    <t>BLFAN</t>
  </si>
  <si>
    <t>BMBAA</t>
  </si>
  <si>
    <t>BMFAB</t>
  </si>
  <si>
    <t>BSHC</t>
  </si>
  <si>
    <t>BSBAF</t>
  </si>
  <si>
    <t>BSHCF</t>
  </si>
  <si>
    <t>BW3AA</t>
  </si>
  <si>
    <t>BW4AA</t>
  </si>
  <si>
    <t>BWFAC</t>
  </si>
  <si>
    <t>BWRAB</t>
  </si>
  <si>
    <t>BWSAB</t>
  </si>
  <si>
    <t>BY1AA</t>
  </si>
  <si>
    <t>BY2AA</t>
  </si>
  <si>
    <t>BYQAD</t>
  </si>
  <si>
    <t>C1MAC</t>
  </si>
  <si>
    <t>C7CAA</t>
  </si>
  <si>
    <t>CADAE</t>
  </si>
  <si>
    <t>CAEAB</t>
  </si>
  <si>
    <t>CAKAA</t>
  </si>
  <si>
    <t>CAZAA</t>
  </si>
  <si>
    <t>CBAAB</t>
  </si>
  <si>
    <t>CBCAA</t>
  </si>
  <si>
    <t>CBGAJ</t>
  </si>
  <si>
    <t>CFFAE</t>
  </si>
  <si>
    <t>CL7AB</t>
  </si>
  <si>
    <t>CNEAA</t>
  </si>
  <si>
    <t>CP4AA</t>
  </si>
  <si>
    <t>CPQAA</t>
  </si>
  <si>
    <t>D17AA</t>
  </si>
  <si>
    <t>D19AD</t>
  </si>
  <si>
    <t>D2XAZ</t>
  </si>
  <si>
    <t>D3JA4</t>
  </si>
  <si>
    <t>D3MAA</t>
  </si>
  <si>
    <t>D3UC4</t>
  </si>
  <si>
    <t>D3WC4</t>
  </si>
  <si>
    <t>D3YAA</t>
  </si>
  <si>
    <t>D5AAA</t>
  </si>
  <si>
    <t>D5RAA</t>
  </si>
  <si>
    <t>DEAAF</t>
  </si>
  <si>
    <t>DEBAA</t>
  </si>
  <si>
    <t>ENM1</t>
  </si>
  <si>
    <t>F5BAA</t>
  </si>
  <si>
    <t>FAFAB</t>
  </si>
  <si>
    <t>FAJAD</t>
  </si>
  <si>
    <t>FBCAB</t>
  </si>
  <si>
    <t>FBFAB</t>
  </si>
  <si>
    <t>FBJAB</t>
  </si>
  <si>
    <t>FI5AA</t>
  </si>
  <si>
    <t>FJGE1</t>
  </si>
  <si>
    <t>FSH</t>
  </si>
  <si>
    <t>G1CAA</t>
  </si>
  <si>
    <t>G1DAA</t>
  </si>
  <si>
    <t>GBABX</t>
  </si>
  <si>
    <t>GTABU</t>
  </si>
  <si>
    <t>GTDAC</t>
  </si>
  <si>
    <t>GZAAA</t>
  </si>
  <si>
    <t>GZHAA</t>
  </si>
  <si>
    <t>HCAAN</t>
  </si>
  <si>
    <t>HCGAB</t>
  </si>
  <si>
    <t>HDHAL</t>
  </si>
  <si>
    <t>HJCAA</t>
  </si>
  <si>
    <t>HJGAF</t>
  </si>
  <si>
    <t>HKFAA</t>
  </si>
  <si>
    <t>HKGAA</t>
  </si>
  <si>
    <t>HKKAA</t>
  </si>
  <si>
    <t>HKSAB</t>
  </si>
  <si>
    <t>HLFAB</t>
  </si>
  <si>
    <t>HLLAF</t>
  </si>
  <si>
    <t>HLNAB</t>
  </si>
  <si>
    <t>HLQAB</t>
  </si>
  <si>
    <t>HNAAA</t>
  </si>
  <si>
    <t>HNKAB</t>
  </si>
  <si>
    <t>HNLAB</t>
  </si>
  <si>
    <t>HNRAA</t>
  </si>
  <si>
    <t>HNSAB</t>
  </si>
  <si>
    <t>HUJAD</t>
  </si>
  <si>
    <t>IBIAA</t>
  </si>
  <si>
    <t>IBUAA</t>
  </si>
  <si>
    <t>ICEF7</t>
  </si>
  <si>
    <t>ICFAI</t>
  </si>
  <si>
    <t>ICNAE</t>
  </si>
  <si>
    <t>IDAAA</t>
  </si>
  <si>
    <t>IDBAG</t>
  </si>
  <si>
    <t>IDGAA</t>
  </si>
  <si>
    <t>IECAA</t>
  </si>
  <si>
    <t>IEDAA</t>
  </si>
  <si>
    <t>IEMAA</t>
  </si>
  <si>
    <t>IEVAB</t>
  </si>
  <si>
    <t>IGEAA</t>
  </si>
  <si>
    <t>J3CAB</t>
  </si>
  <si>
    <t>J3EAA</t>
  </si>
  <si>
    <t>J3FAB</t>
  </si>
  <si>
    <t>J4HAA</t>
  </si>
  <si>
    <t>J5XAA</t>
  </si>
  <si>
    <t>JB1AB</t>
  </si>
  <si>
    <t>JB3AG</t>
  </si>
  <si>
    <t>JBKAB</t>
  </si>
  <si>
    <t>JBQAA</t>
  </si>
  <si>
    <t>JBRAA</t>
  </si>
  <si>
    <t>JBZAE</t>
  </si>
  <si>
    <t>JCBAM</t>
  </si>
  <si>
    <t>JCEAB</t>
  </si>
  <si>
    <t>JCFAH</t>
  </si>
  <si>
    <t>JCGAN</t>
  </si>
  <si>
    <t>JCJAA</t>
  </si>
  <si>
    <t>JCRAA</t>
  </si>
  <si>
    <t>JDAAQ</t>
  </si>
  <si>
    <t>JEDAF</t>
  </si>
  <si>
    <t>JZWAA</t>
  </si>
  <si>
    <t>TDAE7</t>
  </si>
  <si>
    <t>TRBT</t>
  </si>
  <si>
    <t>VLB8</t>
  </si>
  <si>
    <t>WAEDX</t>
  </si>
  <si>
    <t>PLUG</t>
  </si>
  <si>
    <t>95RON E10 ( of 95RON)</t>
  </si>
  <si>
    <t>P23GS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</si>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</sst>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1">
    <numFmt numFmtId="164" formatCode="_(* #,##0_);_(* \(#,##0\);_(* &quot;-&quot;_);_(@_)"/>
    <numFmt numFmtId="165" formatCode="_(* #,##0.00_);_(* \(#,##0.00\);_(* &quot;-&quot;??_);_(@_)"/>
    <numFmt numFmtId="166" formatCode="_(&quot;$&quot;* #,##0_);_(&quot;$&quot;* \(#,##0\);_(&quot;$&quot;* &quot;-&quot;_);_(@_)"/>
    <numFmt numFmtId="167" formatCode="_(&quot;$&quot;* #,##0.00_);_(&quot;$&quot;* \(#,##0.00\);_(&quot;$&quot;* &quot;-&quot;??_);_(@_)"/>
    <numFmt numFmtId="168" formatCode="00000"/>
    <numFmt numFmtId="169" formatCode="&quot;$&quot;#.;\(&quot;$&quot;#,\)"/>
    <numFmt numFmtId="170" formatCode="0_);\(0\);\-"/>
    <numFmt numFmtId="171" formatCode="&quot;\&quot;#,##0;[Red]&quot;\&quot;\-#,##0"/>
    <numFmt numFmtId="172" formatCode="&quot;\&quot;#,##0.00;[Red]&quot;\&quot;\-#,##0.00"/>
    <numFmt numFmtId="173" formatCode="\t0.00%"/>
    <numFmt numFmtId="174" formatCode="\t#\ ??/??"/>
    <numFmt numFmtId="175" formatCode="#,##0;\(#,##0\)"/>
    <numFmt numFmtId="176" formatCode="&quot;\&quot;#,##0.00;[Red]\-&quot;\&quot;#,##0.00"/>
    <numFmt numFmtId="177" formatCode="\$#,##0\ ;\(\$#,##0\)"/>
    <numFmt numFmtId="178" formatCode="#,##0,"/>
    <numFmt numFmtId="179" formatCode="0.0000%"/>
    <numFmt numFmtId="180" formatCode="_-[$€]* #,##0.00_-;\-[$€]* #,##0.00_-;_-[$€]* &quot;-&quot;??_-;_-@_-"/>
    <numFmt numFmtId="181" formatCode="mmmm\ d\,\ yyyy"/>
    <numFmt numFmtId="182" formatCode="#,##0\ ;[Red]\(&quot;$&quot;#,##0\)"/>
    <numFmt numFmtId="183" formatCode="&quot;$&quot;#,##0;&quot;$&quot;\(#,##0\)"/>
    <numFmt numFmtId="184" formatCode="0.0000000000"/>
    <numFmt numFmtId="185" formatCode="#,##0_);[Red]\ \(#,##0\)"/>
    <numFmt numFmtId="186" formatCode="#,##0.0\ ;\(#,##0.0\)"/>
    <numFmt numFmtId="187" formatCode="&quot;$&quot;* ##0.0\ ;&quot;$&quot;* \(##0.0\);&quot;$&quot;* &quot;N/A &quot;"/>
    <numFmt numFmtId="188" formatCode="\$\ #,##0.00_);[Red]\$\(#,##0.00\);\$\ \ \ \-\ \ "/>
    <numFmt numFmtId="189" formatCode=";;;"/>
    <numFmt numFmtId="190" formatCode="&quot;US$&quot;#,##0.00_);\(&quot;US$&quot;#,##0.00\)"/>
    <numFmt numFmtId="191" formatCode="."/>
    <numFmt numFmtId="192" formatCode="_(&quot;$&quot;* #,##0.0;_(&quot;$&quot;* \(#,##0.0\);_(&quot;$&quot;* &quot;0.0&quot;;_(@\)"/>
    <numFmt numFmtId="193" formatCode="#,##0.0000_)"/>
    <numFmt numFmtId="194" formatCode="000"/>
    <numFmt numFmtId="195" formatCode="\$\ #,##0;\-\$\ #,##0"/>
    <numFmt numFmtId="196" formatCode="&quot;$&quot;#,##0.0_);[Red]\(&quot;$&quot;#,##0.0\)"/>
    <numFmt numFmtId="197" formatCode="#,##0.000_);\(#,##0.000\)"/>
    <numFmt numFmtId="198" formatCode="#,##0.0_);\(#,##0.0\)"/>
    <numFmt numFmtId="199" formatCode="&quot;$&quot;* #,##0_);&quot;$&quot;* \(#,##0\)"/>
    <numFmt numFmtId="200" formatCode="_(* #,##0.0000_);_(* \(#,##0.0000\);_(* &quot;-&quot;??_);_(@_)"/>
    <numFmt numFmtId="201" formatCode="#,##0.00;[Red]\(#,##0.00\)"/>
    <numFmt numFmtId="202" formatCode="_(&quot;$&quot;* #,##0;_(&quot;$&quot;* \(#,##0\);_(&quot;$&quot;* &quot;0&quot;;_(@\)"/>
    <numFmt numFmtId="203" formatCode="_-* #,##0\ _P_t_s_-;\-* #,##0\ _P_t_s_-;_-* &quot;-&quot;\ _P_t_s_-;_-@_-"/>
    <numFmt numFmtId="204" formatCode="_-* #,##0.00\ _P_t_s_-;\-* #,##0.00\ _P_t_s_-;_-* &quot;-&quot;??\ _P_t_s_-;_-@_-"/>
    <numFmt numFmtId="205" formatCode="_(&quot;R$&quot;* #,##0_);_(&quot;R$&quot;* \(#,##0\);_(&quot;R$&quot;* &quot;-&quot;_);_(@_)"/>
    <numFmt numFmtId="206" formatCode="_(&quot;R$&quot;* #,##0.00_);_(&quot;R$&quot;* \(#,##0.00\);_(&quot;R$&quot;* &quot;-&quot;??_);_(@_)"/>
    <numFmt numFmtId="207" formatCode="_-* #,##0\ &quot;Pts&quot;_-;\-* #,##0\ &quot;Pts&quot;_-;_-* &quot;-&quot;\ &quot;Pts&quot;_-;_-@_-"/>
    <numFmt numFmtId="208" formatCode="_-* #,##0.00\ &quot;Pts&quot;_-;\-* #,##0.00\ &quot;Pts&quot;_-;_-* &quot;-&quot;??\ &quot;Pts&quot;_-;_-@_-"/>
    <numFmt numFmtId="209" formatCode="_(* #,##0.0;_(* \(#,##0.0\);_(* &quot;0.0&quot;;_(@_)"/>
    <numFmt numFmtId="210" formatCode="#,##0;[Red]\(#,##0\)"/>
    <numFmt numFmtId="211" formatCode="\A&quot;$&quot;#,##0_);\(&quot;$&quot;#,##0\)"/>
    <numFmt numFmtId="212" formatCode="&quot;$&quot;#,\);\(&quot;$&quot;#,##0\)"/>
    <numFmt numFmtId="213" formatCode="##,##0.00_);\(#,##0.00\)"/>
    <numFmt numFmtId="214" formatCode="\ \ \ \ \ \ \ \ \ @"/>
  </numFmts>
  <fonts count="65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 MT"/>
      <family val="2"/>
    </font>
    <font>
      <sz val="8.5"/>
      <name val="LinePrinter"/>
    </font>
    <font>
      <sz val="14"/>
      <name val="??"/>
      <family val="3"/>
      <charset val="129"/>
    </font>
    <font>
      <sz val="12"/>
      <name val="???"/>
      <family val="3"/>
      <charset val="129"/>
    </font>
    <font>
      <sz val="10"/>
      <name val="???"/>
      <family val="3"/>
      <charset val="129"/>
    </font>
    <font>
      <u/>
      <sz val="11"/>
      <color indexed="36"/>
      <name val="lr oSVbN"/>
      <family val="3"/>
      <charset val="128"/>
    </font>
    <font>
      <sz val="10"/>
      <name val="MS Sans Serif"/>
      <family val="2"/>
    </font>
    <font>
      <u/>
      <sz val="11"/>
      <color indexed="36"/>
      <name val="‚l‚r ‚oƒSƒVƒbƒN"/>
      <family val="3"/>
      <charset val="128"/>
    </font>
    <font>
      <sz val="12"/>
      <name val="Helv"/>
    </font>
    <font>
      <sz val="12"/>
      <name val="¹UAAA¼"/>
      <family val="3"/>
      <charset val="129"/>
    </font>
    <font>
      <sz val="8"/>
      <name val="Times New Roman"/>
      <family val="1"/>
    </font>
    <font>
      <sz val="10"/>
      <name val="Courier"/>
      <family val="3"/>
    </font>
    <font>
      <b/>
      <sz val="10"/>
      <name val="Helv"/>
    </font>
    <font>
      <sz val="10"/>
      <name val="Times New Roman"/>
      <family val="1"/>
    </font>
    <font>
      <sz val="10"/>
      <color indexed="8"/>
      <name val="Arial"/>
      <family val="2"/>
    </font>
    <font>
      <sz val="8"/>
      <color indexed="19"/>
      <name val="Tahoma"/>
      <family val="2"/>
    </font>
    <font>
      <i/>
      <sz val="8"/>
      <color indexed="11"/>
      <name val="Tahoma"/>
      <family val="2"/>
    </font>
    <font>
      <u/>
      <sz val="11"/>
      <color indexed="12"/>
      <name val="‚l‚r ‚oƒSƒVƒbƒN"/>
      <family val="3"/>
      <charset val="128"/>
    </font>
    <font>
      <i/>
      <sz val="8"/>
      <color indexed="12"/>
      <name val="Tahoma"/>
      <family val="2"/>
    </font>
    <font>
      <sz val="11"/>
      <name val="Arial"/>
      <family val="2"/>
    </font>
    <font>
      <b/>
      <sz val="12"/>
      <name val="Helv"/>
    </font>
    <font>
      <sz val="8"/>
      <color indexed="12"/>
      <name val="Helv"/>
      <family val="2"/>
    </font>
    <font>
      <sz val="8"/>
      <color indexed="8"/>
      <name val="Tahoma"/>
      <family val="2"/>
    </font>
    <font>
      <b/>
      <sz val="11"/>
      <name val="Helv"/>
    </font>
    <font>
      <u/>
      <sz val="11"/>
      <color indexed="12"/>
      <name val="lr oSVbN"/>
      <family val="3"/>
      <charset val="128"/>
    </font>
    <font>
      <sz val="7"/>
      <name val="Small Fonts"/>
      <family val="2"/>
    </font>
    <font>
      <sz val="11"/>
      <name val="‚l‚r –¾’©"/>
      <charset val="128"/>
    </font>
    <font>
      <sz val="10"/>
      <name val="MS Sans Serif"/>
      <family val="2"/>
    </font>
    <font>
      <i/>
      <sz val="8"/>
      <color indexed="23"/>
      <name val="Tahoma"/>
      <family val="2"/>
    </font>
    <font>
      <sz val="8"/>
      <name val="Tahoma"/>
      <family val="2"/>
    </font>
    <font>
      <b/>
      <sz val="10"/>
      <name val="MS Sans Serif"/>
      <family val="2"/>
    </font>
    <font>
      <sz val="8"/>
      <color indexed="8"/>
      <name val="Times New Roman"/>
      <family val="1"/>
    </font>
    <font>
      <b/>
      <sz val="8"/>
      <color indexed="8"/>
      <name val="Times New Roman"/>
      <family val="1"/>
    </font>
    <font>
      <sz val="12"/>
      <color indexed="8"/>
      <name val="Times New Roman"/>
      <family val="1"/>
    </font>
    <font>
      <sz val="8"/>
      <color indexed="18"/>
      <name val="Tahoma"/>
      <family val="2"/>
    </font>
    <font>
      <sz val="8"/>
      <color indexed="20"/>
      <name val="Tahoma"/>
      <family val="2"/>
    </font>
    <font>
      <i/>
      <sz val="8"/>
      <color indexed="8"/>
      <name val="Tahoma"/>
      <family val="2"/>
    </font>
    <font>
      <sz val="9"/>
      <name val="lr oSVbN"/>
      <family val="3"/>
      <charset val="128"/>
    </font>
    <font>
      <sz val="10"/>
      <name val="Wingdings"/>
      <charset val="2"/>
    </font>
    <font>
      <sz val="14"/>
      <name val="뼻뮝"/>
      <family val="3"/>
      <charset val="129"/>
    </font>
    <font>
      <sz val="12"/>
      <name val="뼻뮝"/>
      <family val="1"/>
      <charset val="129"/>
    </font>
    <font>
      <sz val="12"/>
      <name val=".VnTime"/>
      <family val="2"/>
    </font>
    <font>
      <sz val="12"/>
      <name val="바탕체"/>
      <family val="3"/>
      <charset val="129"/>
    </font>
    <font>
      <sz val="10"/>
      <name val="굴림체"/>
      <family val="3"/>
      <charset val="129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Arial"/>
      <family val="2"/>
    </font>
    <font>
      <b/>
      <i/>
      <sz val="13"/>
      <color theme="1"/>
      <name val="Arial"/>
      <family val="2"/>
    </font>
    <font>
      <sz val="14"/>
      <color rgb="FF000000"/>
      <name val="Arial"/>
      <family val="2"/>
    </font>
    <font>
      <b/>
      <sz val="22"/>
      <color theme="1"/>
      <name val="Arial"/>
      <family val="2"/>
    </font>
    <font>
      <b/>
      <sz val="24"/>
      <color theme="1"/>
      <name val="Arial"/>
      <family val="2"/>
    </font>
    <font>
      <u/>
      <sz val="10"/>
      <color theme="10"/>
      <name val="Arial"/>
      <family val="2"/>
    </font>
    <font>
      <sz val="10"/>
      <name val="MS Sans Serif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mediumGray">
        <fgColor indexed="22"/>
      </patternFill>
    </fill>
    <fill>
      <patternFill patternType="solid">
        <fgColor indexed="22"/>
        <bgColor indexed="25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6DEFA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33FFCC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8EEC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07">
    <xf numFmtId="0" fontId="0" fillId="0" borderId="0"/>
    <xf numFmtId="0" fontId="10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1" fillId="0" borderId="0" applyFont="0" applyFill="0" applyBorder="0" applyAlignment="0" applyProtection="0"/>
    <xf numFmtId="172" fontId="12" fillId="0" borderId="0" applyFont="0" applyFill="0" applyBorder="0" applyAlignment="0" applyProtection="0"/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10" fontId="5" fillId="0" borderId="0" applyFont="0" applyFill="0" applyBorder="0" applyAlignment="0" applyProtection="0"/>
    <xf numFmtId="0" fontId="13" fillId="0" borderId="0"/>
    <xf numFmtId="182" fontId="15" fillId="0" borderId="0" applyFont="0" applyFill="0" applyBorder="0" applyAlignment="0" applyProtection="0"/>
    <xf numFmtId="183" fontId="15" fillId="0" borderId="0" applyFon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5" fillId="0" borderId="0"/>
    <xf numFmtId="0" fontId="14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46" fillId="0" borderId="0"/>
    <xf numFmtId="0" fontId="2" fillId="0" borderId="0" applyFont="0" applyFill="0" applyBorder="0" applyAlignment="0" applyProtection="0"/>
    <xf numFmtId="0" fontId="4" fillId="0" borderId="0" applyFont="0" applyFill="0" applyBorder="0" applyAlignment="0" applyProtection="0"/>
    <xf numFmtId="40" fontId="10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5" fontId="10" fillId="0" borderId="0" applyFont="0" applyFill="0" applyBorder="0" applyAlignment="0" applyProtection="0"/>
    <xf numFmtId="185" fontId="10" fillId="0" borderId="0" applyFont="0" applyFill="0" applyBorder="0" applyAlignment="0" applyProtection="0"/>
    <xf numFmtId="185" fontId="10" fillId="0" borderId="0" applyFont="0" applyFill="0" applyBorder="0" applyAlignment="0" applyProtection="0"/>
    <xf numFmtId="186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3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8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9" fontId="2" fillId="0" borderId="0">
      <alignment horizontal="right"/>
    </xf>
    <xf numFmtId="189" fontId="2" fillId="0" borderId="0">
      <alignment horizontal="right"/>
    </xf>
    <xf numFmtId="181" fontId="2" fillId="0" borderId="0">
      <alignment horizontal="right"/>
    </xf>
    <xf numFmtId="190" fontId="2" fillId="0" borderId="0">
      <alignment horizontal="right"/>
    </xf>
    <xf numFmtId="190" fontId="2" fillId="0" borderId="0">
      <alignment horizontal="right"/>
    </xf>
    <xf numFmtId="191" fontId="2" fillId="0" borderId="0">
      <alignment horizontal="right"/>
    </xf>
    <xf numFmtId="191" fontId="2" fillId="0" borderId="0">
      <alignment horizontal="right"/>
    </xf>
    <xf numFmtId="191" fontId="2" fillId="0" borderId="0">
      <alignment horizontal="right"/>
    </xf>
    <xf numFmtId="191" fontId="2" fillId="0" borderId="0">
      <alignment horizontal="right"/>
    </xf>
    <xf numFmtId="181" fontId="2" fillId="0" borderId="0">
      <alignment horizontal="right"/>
    </xf>
    <xf numFmtId="190" fontId="2" fillId="0" borderId="0">
      <alignment horizontal="right"/>
    </xf>
    <xf numFmtId="190" fontId="2" fillId="0" borderId="0">
      <alignment horizontal="right"/>
    </xf>
    <xf numFmtId="0" fontId="17" fillId="0" borderId="1" applyBorder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9" fillId="0" borderId="0">
      <alignment horizontal="center" wrapText="1"/>
      <protection locked="0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192" fontId="2" fillId="0" borderId="2" applyBorder="0"/>
    <xf numFmtId="192" fontId="5" fillId="0" borderId="3" applyBorder="0">
      <alignment horizontal="right"/>
    </xf>
    <xf numFmtId="0" fontId="18" fillId="0" borderId="0"/>
    <xf numFmtId="0" fontId="18" fillId="0" borderId="0"/>
    <xf numFmtId="193" fontId="20" fillId="0" borderId="0" applyFill="0" applyBorder="0" applyAlignment="0"/>
    <xf numFmtId="0" fontId="21" fillId="0" borderId="0"/>
    <xf numFmtId="194" fontId="2" fillId="0" borderId="0" applyFont="0" applyFill="0" applyBorder="0" applyAlignment="0" applyProtection="0"/>
    <xf numFmtId="175" fontId="22" fillId="0" borderId="0"/>
    <xf numFmtId="37" fontId="2" fillId="0" borderId="0" applyFont="0" applyFill="0" applyBorder="0" applyAlignment="0" applyProtection="0">
      <alignment horizontal="right"/>
    </xf>
    <xf numFmtId="40" fontId="15" fillId="0" borderId="0" applyFont="0" applyFill="0" applyBorder="0" applyAlignment="0" applyProtection="0"/>
    <xf numFmtId="3" fontId="5" fillId="0" borderId="0" applyFont="0" applyFill="0" applyBorder="0" applyAlignment="0" applyProtection="0"/>
    <xf numFmtId="168" fontId="2" fillId="0" borderId="0">
      <alignment horizontal="center"/>
    </xf>
    <xf numFmtId="193" fontId="20" fillId="0" borderId="0" applyFont="0" applyFill="0" applyBorder="0" applyAlignment="0" applyProtection="0"/>
    <xf numFmtId="179" fontId="2" fillId="0" borderId="0" applyFont="0" applyFill="0" applyBorder="0" applyAlignment="0" applyProtection="0"/>
    <xf numFmtId="177" fontId="5" fillId="0" borderId="0" applyFont="0" applyFill="0" applyBorder="0" applyAlignment="0" applyProtection="0"/>
    <xf numFmtId="173" fontId="5" fillId="0" borderId="0"/>
    <xf numFmtId="195" fontId="2" fillId="2" borderId="0" applyFont="0" applyBorder="0"/>
    <xf numFmtId="0" fontId="15" fillId="0" borderId="0" applyFont="0" applyFill="0" applyBorder="0" applyProtection="0">
      <alignment horizontal="centerContinuous"/>
    </xf>
    <xf numFmtId="14" fontId="23" fillId="0" borderId="0" applyFill="0" applyBorder="0" applyAlignment="0"/>
    <xf numFmtId="196" fontId="15" fillId="0" borderId="0" applyFont="0" applyFill="0" applyBorder="0" applyProtection="0">
      <alignment horizontal="centerContinuous"/>
    </xf>
    <xf numFmtId="175" fontId="15" fillId="0" borderId="0" applyFont="0" applyFill="0" applyBorder="0" applyAlignment="0" applyProtection="0"/>
    <xf numFmtId="197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99" fontId="15" fillId="0" borderId="0"/>
    <xf numFmtId="174" fontId="5" fillId="0" borderId="0"/>
    <xf numFmtId="200" fontId="2" fillId="0" borderId="0" applyFont="0" applyFill="0" applyBorder="0" applyAlignment="0" applyProtection="0"/>
    <xf numFmtId="0" fontId="24" fillId="0" borderId="0" applyNumberFormat="0" applyFill="0" applyBorder="0" applyProtection="0">
      <alignment horizontal="left"/>
    </xf>
    <xf numFmtId="194" fontId="2" fillId="0" borderId="0" applyFill="0" applyBorder="0" applyAlignment="0"/>
    <xf numFmtId="193" fontId="20" fillId="0" borderId="0" applyFill="0" applyBorder="0" applyAlignment="0"/>
    <xf numFmtId="194" fontId="2" fillId="0" borderId="0" applyFill="0" applyBorder="0" applyAlignment="0"/>
    <xf numFmtId="201" fontId="20" fillId="0" borderId="0" applyFill="0" applyBorder="0" applyAlignment="0"/>
    <xf numFmtId="193" fontId="20" fillId="0" borderId="0" applyFill="0" applyBorder="0" applyAlignment="0"/>
    <xf numFmtId="0" fontId="25" fillId="0" borderId="0" applyNumberFormat="0" applyFill="0" applyBorder="0" applyProtection="0">
      <alignment horizontal="right"/>
    </xf>
    <xf numFmtId="180" fontId="2" fillId="0" borderId="0" applyFont="0" applyFill="0" applyBorder="0" applyAlignment="0" applyProtection="0"/>
    <xf numFmtId="2" fontId="7" fillId="0" borderId="0" applyProtection="0"/>
    <xf numFmtId="0" fontId="26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Protection="0">
      <alignment horizontal="right"/>
    </xf>
    <xf numFmtId="214" fontId="28" fillId="0" borderId="4">
      <alignment vertical="top"/>
    </xf>
    <xf numFmtId="202" fontId="23" fillId="0" borderId="5"/>
    <xf numFmtId="38" fontId="4" fillId="3" borderId="0" applyNumberFormat="0" applyBorder="0" applyAlignment="0" applyProtection="0"/>
    <xf numFmtId="0" fontId="29" fillId="0" borderId="0">
      <alignment horizontal="left"/>
    </xf>
    <xf numFmtId="0" fontId="8" fillId="0" borderId="3" applyNumberFormat="0" applyAlignment="0" applyProtection="0">
      <alignment horizontal="left" vertical="center"/>
    </xf>
    <xf numFmtId="0" fontId="8" fillId="0" borderId="6">
      <alignment horizontal="left" vertical="center"/>
    </xf>
    <xf numFmtId="0" fontId="6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0" applyProtection="0"/>
    <xf numFmtId="0" fontId="8" fillId="0" borderId="0" applyProtection="0"/>
    <xf numFmtId="0" fontId="30" fillId="0" borderId="0"/>
    <xf numFmtId="10" fontId="4" fillId="3" borderId="7" applyNumberFormat="0" applyBorder="0" applyAlignment="0" applyProtection="0"/>
    <xf numFmtId="0" fontId="31" fillId="0" borderId="0" applyNumberFormat="0" applyFill="0" applyBorder="0" applyProtection="0">
      <alignment horizontal="left"/>
    </xf>
    <xf numFmtId="194" fontId="2" fillId="0" borderId="0" applyFill="0" applyBorder="0" applyAlignment="0"/>
    <xf numFmtId="193" fontId="20" fillId="0" borderId="0" applyFill="0" applyBorder="0" applyAlignment="0"/>
    <xf numFmtId="194" fontId="2" fillId="0" borderId="0" applyFill="0" applyBorder="0" applyAlignment="0"/>
    <xf numFmtId="201" fontId="20" fillId="0" borderId="0" applyFill="0" applyBorder="0" applyAlignment="0"/>
    <xf numFmtId="193" fontId="20" fillId="0" borderId="0" applyFill="0" applyBorder="0" applyAlignment="0"/>
    <xf numFmtId="170" fontId="2" fillId="0" borderId="0"/>
    <xf numFmtId="203" fontId="2" fillId="0" borderId="0" applyFont="0" applyFill="0" applyBorder="0" applyAlignment="0" applyProtection="0"/>
    <xf numFmtId="20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32" fillId="0" borderId="8"/>
    <xf numFmtId="205" fontId="2" fillId="0" borderId="0" applyFont="0" applyFill="0" applyBorder="0" applyAlignment="0" applyProtection="0"/>
    <xf numFmtId="206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8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22" fillId="0" borderId="0"/>
    <xf numFmtId="37" fontId="34" fillId="0" borderId="0"/>
    <xf numFmtId="169" fontId="2" fillId="0" borderId="0"/>
    <xf numFmtId="209" fontId="23" fillId="0" borderId="0" applyBorder="0"/>
    <xf numFmtId="0" fontId="2" fillId="0" borderId="0" applyNumberFormat="0" applyFill="0" applyBorder="0" applyAlignment="0" applyProtection="0"/>
    <xf numFmtId="40" fontId="35" fillId="0" borderId="0" applyFont="0" applyFill="0" applyBorder="0" applyAlignment="0" applyProtection="0"/>
    <xf numFmtId="38" fontId="35" fillId="0" borderId="0" applyFont="0" applyFill="0" applyBorder="0" applyAlignment="0" applyProtection="0"/>
    <xf numFmtId="0" fontId="24" fillId="0" borderId="0" applyNumberFormat="0" applyFill="0" applyBorder="0" applyProtection="0">
      <alignment horizontal="left"/>
    </xf>
    <xf numFmtId="14" fontId="19" fillId="0" borderId="0">
      <alignment horizontal="center" wrapText="1"/>
      <protection locked="0"/>
    </xf>
    <xf numFmtId="210" fontId="20" fillId="0" borderId="0" applyFont="0" applyFill="0" applyBorder="0" applyAlignment="0" applyProtection="0"/>
    <xf numFmtId="211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15" fillId="0" borderId="0" applyFont="0" applyFill="0" applyBorder="0" applyAlignment="0" applyProtection="0"/>
    <xf numFmtId="10" fontId="15" fillId="0" borderId="0" applyFont="0" applyFill="0" applyBorder="0" applyAlignment="0" applyProtection="0"/>
    <xf numFmtId="9" fontId="36" fillId="0" borderId="9" applyNumberFormat="0" applyBorder="0"/>
    <xf numFmtId="212" fontId="2" fillId="0" borderId="0" applyFont="0" applyFill="0" applyBorder="0" applyAlignment="0" applyProtection="0"/>
    <xf numFmtId="0" fontId="37" fillId="0" borderId="0" applyNumberFormat="0" applyFill="0" applyBorder="0" applyProtection="0">
      <alignment horizontal="right"/>
    </xf>
    <xf numFmtId="194" fontId="2" fillId="0" borderId="0" applyFill="0" applyBorder="0" applyAlignment="0"/>
    <xf numFmtId="193" fontId="20" fillId="0" borderId="0" applyFill="0" applyBorder="0" applyAlignment="0"/>
    <xf numFmtId="194" fontId="2" fillId="0" borderId="0" applyFill="0" applyBorder="0" applyAlignment="0"/>
    <xf numFmtId="201" fontId="20" fillId="0" borderId="0" applyFill="0" applyBorder="0" applyAlignment="0"/>
    <xf numFmtId="193" fontId="20" fillId="0" borderId="0" applyFill="0" applyBorder="0" applyAlignment="0"/>
    <xf numFmtId="4" fontId="38" fillId="0" borderId="0" applyFont="0" applyFill="0" applyBorder="0" applyProtection="0">
      <alignment horizontal="right"/>
    </xf>
    <xf numFmtId="0" fontId="15" fillId="0" borderId="0" applyNumberFormat="0" applyFont="0" applyFill="0" applyBorder="0" applyAlignment="0" applyProtection="0">
      <alignment horizontal="left"/>
    </xf>
    <xf numFmtId="15" fontId="15" fillId="0" borderId="0" applyFont="0" applyFill="0" applyBorder="0" applyAlignment="0" applyProtection="0"/>
    <xf numFmtId="4" fontId="15" fillId="0" borderId="0" applyFont="0" applyFill="0" applyBorder="0" applyAlignment="0" applyProtection="0"/>
    <xf numFmtId="0" fontId="39" fillId="0" borderId="8">
      <alignment horizontal="center"/>
    </xf>
    <xf numFmtId="3" fontId="15" fillId="0" borderId="0" applyFont="0" applyFill="0" applyBorder="0" applyAlignment="0" applyProtection="0"/>
    <xf numFmtId="0" fontId="15" fillId="4" borderId="0" applyNumberFormat="0" applyFont="0" applyBorder="0" applyAlignment="0" applyProtection="0"/>
    <xf numFmtId="37" fontId="15" fillId="0" borderId="0"/>
    <xf numFmtId="0" fontId="40" fillId="0" borderId="10" applyAlignment="0">
      <alignment vertical="center" wrapText="1"/>
    </xf>
    <xf numFmtId="0" fontId="41" fillId="0" borderId="11">
      <alignment horizontal="center" vertical="center" wrapText="1"/>
    </xf>
    <xf numFmtId="0" fontId="41" fillId="0" borderId="10">
      <alignment horizontal="center" vertical="center" wrapText="1"/>
    </xf>
    <xf numFmtId="0" fontId="42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9" fillId="0" borderId="0"/>
    <xf numFmtId="0" fontId="9" fillId="0" borderId="0"/>
    <xf numFmtId="0" fontId="32" fillId="0" borderId="0"/>
    <xf numFmtId="49" fontId="23" fillId="0" borderId="0" applyFill="0" applyBorder="0" applyAlignment="0"/>
    <xf numFmtId="213" fontId="20" fillId="0" borderId="0" applyFill="0" applyBorder="0" applyAlignment="0"/>
    <xf numFmtId="213" fontId="20" fillId="0" borderId="0" applyFill="0" applyBorder="0" applyAlignment="0"/>
    <xf numFmtId="0" fontId="31" fillId="0" borderId="0" applyNumberFormat="0" applyFill="0" applyBorder="0" applyProtection="0">
      <alignment horizontal="left"/>
    </xf>
    <xf numFmtId="192" fontId="2" fillId="0" borderId="0" applyBorder="0"/>
    <xf numFmtId="0" fontId="7" fillId="0" borderId="12" applyProtection="0"/>
    <xf numFmtId="0" fontId="4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44" fillId="5" borderId="13" applyNumberFormat="0" applyAlignment="0" applyProtection="0"/>
    <xf numFmtId="0" fontId="45" fillId="0" borderId="0" applyNumberFormat="0" applyFill="0" applyBorder="0" applyProtection="0">
      <alignment horizontal="right"/>
    </xf>
    <xf numFmtId="0" fontId="3" fillId="0" borderId="0">
      <alignment horizontal="left"/>
    </xf>
    <xf numFmtId="0" fontId="47" fillId="0" borderId="0"/>
    <xf numFmtId="40" fontId="48" fillId="0" borderId="0" applyFont="0" applyFill="0" applyBorder="0" applyAlignment="0" applyProtection="0"/>
    <xf numFmtId="38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10" fontId="5" fillId="0" borderId="0" applyFont="0" applyFill="0" applyBorder="0" applyAlignment="0" applyProtection="0"/>
    <xf numFmtId="0" fontId="49" fillId="0" borderId="0"/>
    <xf numFmtId="178" fontId="5" fillId="0" borderId="0" applyFont="0" applyFill="0" applyBorder="0" applyAlignment="0" applyProtection="0"/>
    <xf numFmtId="176" fontId="50" fillId="0" borderId="0" applyFont="0" applyFill="0" applyBorder="0" applyAlignment="0" applyProtection="0"/>
    <xf numFmtId="172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0" fontId="52" fillId="0" borderId="0"/>
    <xf numFmtId="0" fontId="5" fillId="0" borderId="0"/>
    <xf numFmtId="0" fontId="5" fillId="0" borderId="0"/>
    <xf numFmtId="0" fontId="1" fillId="0" borderId="0"/>
    <xf numFmtId="0" fontId="2" fillId="0" borderId="0"/>
    <xf numFmtId="0" fontId="63" fillId="0" borderId="0" applyNumberFormat="0" applyFill="0" applyBorder="0" applyAlignment="0" applyProtection="0"/>
    <xf numFmtId="0" fontId="64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54" fillId="0" borderId="0" xfId="203" applyFont="1"/>
    <xf numFmtId="0" fontId="55" fillId="0" borderId="0" xfId="203" applyFont="1"/>
    <xf numFmtId="0" fontId="55" fillId="13" borderId="7" xfId="203" applyFont="1" applyFill="1" applyBorder="1"/>
    <xf numFmtId="0" fontId="2" fillId="7" borderId="7" xfId="0" applyFont="1" applyFill="1" applyBorder="1" applyAlignment="1">
      <alignment horizontal="left"/>
    </xf>
    <xf numFmtId="0" fontId="0" fillId="6" borderId="7" xfId="0" applyFill="1" applyBorder="1" applyAlignment="1">
      <alignment horizontal="left"/>
    </xf>
    <xf numFmtId="0" fontId="0" fillId="8" borderId="7" xfId="0" applyFill="1" applyBorder="1" applyAlignment="1">
      <alignment horizontal="left"/>
    </xf>
    <xf numFmtId="0" fontId="2" fillId="7" borderId="17" xfId="0" applyFont="1" applyFill="1" applyBorder="1" applyAlignment="1">
      <alignment horizontal="left"/>
    </xf>
    <xf numFmtId="0" fontId="2" fillId="7" borderId="21" xfId="0" applyFont="1" applyFill="1" applyBorder="1" applyAlignment="1">
      <alignment horizontal="left"/>
    </xf>
    <xf numFmtId="0" fontId="0" fillId="6" borderId="16" xfId="0" applyFill="1" applyBorder="1" applyAlignment="1">
      <alignment horizontal="left"/>
    </xf>
    <xf numFmtId="0" fontId="0" fillId="6" borderId="17" xfId="0" applyFill="1" applyBorder="1" applyAlignment="1">
      <alignment horizontal="left"/>
    </xf>
    <xf numFmtId="0" fontId="0" fillId="6" borderId="21" xfId="0" applyFill="1" applyBorder="1" applyAlignment="1">
      <alignment horizontal="left"/>
    </xf>
    <xf numFmtId="0" fontId="0" fillId="8" borderId="16" xfId="0" applyFill="1" applyBorder="1" applyAlignment="1">
      <alignment horizontal="left"/>
    </xf>
    <xf numFmtId="0" fontId="0" fillId="8" borderId="21" xfId="0" applyFill="1" applyBorder="1" applyAlignment="1">
      <alignment horizontal="left"/>
    </xf>
    <xf numFmtId="0" fontId="0" fillId="8" borderId="23" xfId="0" applyFill="1" applyBorder="1" applyAlignment="1">
      <alignment horizontal="left"/>
    </xf>
    <xf numFmtId="0" fontId="0" fillId="0" borderId="0" xfId="0" applyFill="1"/>
    <xf numFmtId="0" fontId="57" fillId="12" borderId="7" xfId="203" applyFont="1" applyFill="1" applyBorder="1" applyAlignment="1">
      <alignment horizontal="left" vertical="top" wrapText="1"/>
    </xf>
    <xf numFmtId="0" fontId="57" fillId="12" borderId="14" xfId="203" applyFont="1" applyFill="1" applyBorder="1" applyAlignment="1">
      <alignment vertical="top" wrapText="1"/>
    </xf>
    <xf numFmtId="0" fontId="58" fillId="10" borderId="7" xfId="203" applyFont="1" applyFill="1" applyBorder="1" applyAlignment="1">
      <alignment horizontal="left" vertical="top" wrapText="1"/>
    </xf>
    <xf numFmtId="0" fontId="57" fillId="0" borderId="7" xfId="203" applyFont="1" applyFill="1" applyBorder="1" applyAlignment="1">
      <alignment horizontal="left" vertical="top" wrapText="1"/>
    </xf>
    <xf numFmtId="0" fontId="59" fillId="10" borderId="7" xfId="203" applyFont="1" applyFill="1" applyBorder="1" applyAlignment="1">
      <alignment horizontal="left" vertical="top" wrapText="1"/>
    </xf>
    <xf numFmtId="0" fontId="58" fillId="0" borderId="7" xfId="203" applyFont="1" applyFill="1" applyBorder="1"/>
    <xf numFmtId="0" fontId="58" fillId="10" borderId="14" xfId="203" applyFont="1" applyFill="1" applyBorder="1" applyAlignment="1">
      <alignment vertical="top" wrapText="1"/>
    </xf>
    <xf numFmtId="0" fontId="59" fillId="10" borderId="14" xfId="203" applyFont="1" applyFill="1" applyBorder="1" applyAlignment="1">
      <alignment vertical="top" wrapText="1"/>
    </xf>
    <xf numFmtId="0" fontId="2" fillId="7" borderId="14" xfId="0" applyFont="1" applyFill="1" applyBorder="1" applyAlignment="1">
      <alignment horizontal="left"/>
    </xf>
    <xf numFmtId="0" fontId="0" fillId="0" borderId="7" xfId="0" applyBorder="1"/>
    <xf numFmtId="0" fontId="0" fillId="0" borderId="7" xfId="0" applyBorder="1" applyAlignment="1">
      <alignment horizontal="left"/>
    </xf>
    <xf numFmtId="0" fontId="2" fillId="6" borderId="0" xfId="0" applyFont="1" applyFill="1"/>
    <xf numFmtId="0" fontId="2" fillId="6" borderId="16" xfId="0" applyFont="1" applyFill="1" applyBorder="1" applyAlignment="1">
      <alignment horizontal="left"/>
    </xf>
    <xf numFmtId="0" fontId="2" fillId="8" borderId="24" xfId="0" applyFont="1" applyFill="1" applyBorder="1" applyAlignment="1">
      <alignment horizontal="left"/>
    </xf>
    <xf numFmtId="0" fontId="2" fillId="8" borderId="7" xfId="0" applyFont="1" applyFill="1" applyBorder="1" applyAlignment="1">
      <alignment horizontal="left"/>
    </xf>
    <xf numFmtId="0" fontId="2" fillId="6" borderId="7" xfId="0" applyFont="1" applyFill="1" applyBorder="1" applyAlignment="1">
      <alignment horizontal="left"/>
    </xf>
    <xf numFmtId="0" fontId="2" fillId="8" borderId="16" xfId="0" applyFont="1" applyFill="1" applyBorder="1" applyAlignment="1">
      <alignment horizontal="left"/>
    </xf>
    <xf numFmtId="0" fontId="57" fillId="10" borderId="7" xfId="203" applyFont="1" applyFill="1" applyBorder="1" applyAlignment="1">
      <alignment horizontal="center" vertical="center" wrapText="1"/>
    </xf>
    <xf numFmtId="0" fontId="58" fillId="10" borderId="7" xfId="203" applyFont="1" applyFill="1" applyBorder="1" applyAlignment="1">
      <alignment vertical="top" wrapText="1"/>
    </xf>
    <xf numFmtId="0" fontId="59" fillId="10" borderId="7" xfId="203" applyFont="1" applyFill="1" applyBorder="1" applyAlignment="1">
      <alignment vertical="top" wrapText="1"/>
    </xf>
    <xf numFmtId="0" fontId="59" fillId="10" borderId="7" xfId="203" applyFont="1" applyFill="1" applyBorder="1" applyAlignment="1">
      <alignment horizontal="center" vertical="center" wrapText="1"/>
    </xf>
    <xf numFmtId="0" fontId="2" fillId="8" borderId="18" xfId="0" applyFont="1" applyFill="1" applyBorder="1" applyAlignment="1">
      <alignment horizontal="left"/>
    </xf>
    <xf numFmtId="0" fontId="2" fillId="8" borderId="19" xfId="0" applyFont="1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2" fillId="8" borderId="17" xfId="0" applyFont="1" applyFill="1" applyBorder="1" applyAlignment="1">
      <alignment horizontal="left"/>
    </xf>
    <xf numFmtId="0" fontId="0" fillId="8" borderId="22" xfId="0" applyFill="1" applyBorder="1" applyAlignment="1">
      <alignment horizontal="left"/>
    </xf>
    <xf numFmtId="0" fontId="61" fillId="15" borderId="0" xfId="203" quotePrefix="1" applyFont="1" applyFill="1" applyAlignment="1">
      <alignment horizontal="center" vertical="center"/>
    </xf>
    <xf numFmtId="0" fontId="62" fillId="15" borderId="0" xfId="203" applyFont="1" applyFill="1" applyAlignment="1">
      <alignment horizontal="center"/>
    </xf>
    <xf numFmtId="0" fontId="0" fillId="0" borderId="23" xfId="0" applyFill="1" applyBorder="1"/>
    <xf numFmtId="0" fontId="3" fillId="17" borderId="7" xfId="0" applyFont="1" applyFill="1" applyBorder="1"/>
    <xf numFmtId="0" fontId="3" fillId="17" borderId="7" xfId="0" applyFont="1" applyFill="1" applyBorder="1" applyAlignment="1">
      <alignment horizontal="left"/>
    </xf>
    <xf numFmtId="0" fontId="2" fillId="18" borderId="23" xfId="0" applyFont="1" applyFill="1" applyBorder="1" applyAlignment="1">
      <alignment horizontal="left"/>
    </xf>
    <xf numFmtId="0" fontId="2" fillId="18" borderId="7" xfId="0" applyFont="1" applyFill="1" applyBorder="1" applyAlignment="1">
      <alignment horizontal="left"/>
    </xf>
    <xf numFmtId="0" fontId="2" fillId="19" borderId="18" xfId="0" applyFont="1" applyFill="1" applyBorder="1" applyAlignment="1">
      <alignment horizontal="left"/>
    </xf>
    <xf numFmtId="0" fontId="0" fillId="19" borderId="19" xfId="0" applyFill="1" applyBorder="1" applyAlignment="1">
      <alignment horizontal="left"/>
    </xf>
    <xf numFmtId="0" fontId="2" fillId="19" borderId="7" xfId="0" applyFont="1" applyFill="1" applyBorder="1" applyAlignment="1">
      <alignment horizontal="left"/>
    </xf>
    <xf numFmtId="0" fontId="0" fillId="19" borderId="16" xfId="0" applyFill="1" applyBorder="1" applyAlignment="1">
      <alignment horizontal="left"/>
    </xf>
    <xf numFmtId="0" fontId="0" fillId="19" borderId="7" xfId="0" applyFill="1" applyBorder="1" applyAlignment="1">
      <alignment horizontal="left"/>
    </xf>
    <xf numFmtId="0" fontId="2" fillId="19" borderId="16" xfId="0" applyFont="1" applyFill="1" applyBorder="1" applyAlignment="1">
      <alignment horizontal="left"/>
    </xf>
    <xf numFmtId="0" fontId="2" fillId="19" borderId="14" xfId="0" applyFont="1" applyFill="1" applyBorder="1" applyAlignment="1">
      <alignment horizontal="left"/>
    </xf>
    <xf numFmtId="0" fontId="2" fillId="8" borderId="21" xfId="0" applyFont="1" applyFill="1" applyBorder="1" applyAlignment="1">
      <alignment horizontal="left"/>
    </xf>
    <xf numFmtId="0" fontId="2" fillId="16" borderId="7" xfId="0" applyFont="1" applyFill="1" applyBorder="1" applyAlignment="1">
      <alignment horizontal="left"/>
    </xf>
    <xf numFmtId="0" fontId="0" fillId="7" borderId="0" xfId="0" applyFill="1" applyAlignment="1">
      <alignment horizontal="left" vertical="center"/>
    </xf>
    <xf numFmtId="0" fontId="2" fillId="7" borderId="0" xfId="0" applyFont="1" applyFill="1" applyAlignment="1">
      <alignment horizontal="left" vertical="center"/>
    </xf>
    <xf numFmtId="0" fontId="63" fillId="7" borderId="0" xfId="205" applyFill="1" applyAlignment="1">
      <alignment horizontal="left" vertical="center"/>
    </xf>
    <xf numFmtId="0" fontId="0" fillId="7" borderId="0" xfId="0" applyFill="1" applyAlignment="1">
      <alignment horizontal="left"/>
    </xf>
    <xf numFmtId="0" fontId="54" fillId="10" borderId="7" xfId="203" applyFont="1" applyFill="1" applyBorder="1" applyAlignment="1">
      <alignment horizontal="left" vertical="top" wrapText="1"/>
    </xf>
    <xf numFmtId="0" fontId="53" fillId="9" borderId="7" xfId="203" applyFont="1" applyFill="1" applyBorder="1" applyAlignment="1">
      <alignment horizontal="center" vertical="center" wrapText="1"/>
    </xf>
    <xf numFmtId="0" fontId="57" fillId="10" borderId="20" xfId="203" applyFont="1" applyFill="1" applyBorder="1" applyAlignment="1">
      <alignment horizontal="center" vertical="center" wrapText="1"/>
    </xf>
    <xf numFmtId="0" fontId="57" fillId="10" borderId="6" xfId="203" applyFont="1" applyFill="1" applyBorder="1" applyAlignment="1">
      <alignment horizontal="center" vertical="center" wrapText="1"/>
    </xf>
    <xf numFmtId="0" fontId="57" fillId="10" borderId="15" xfId="203" applyFont="1" applyFill="1" applyBorder="1" applyAlignment="1">
      <alignment horizontal="center" vertical="center" wrapText="1"/>
    </xf>
    <xf numFmtId="0" fontId="56" fillId="11" borderId="7" xfId="203" applyFont="1" applyFill="1" applyBorder="1" applyAlignment="1">
      <alignment horizontal="center" vertical="top" wrapText="1"/>
    </xf>
    <xf numFmtId="0" fontId="56" fillId="14" borderId="7" xfId="203" applyFont="1" applyFill="1" applyBorder="1" applyAlignment="1">
      <alignment horizontal="center" vertical="center" wrapText="1"/>
    </xf>
  </cellXfs>
  <cellStyles count="207">
    <cellStyle name="$0" xfId="1"/>
    <cellStyle name="$0.0" xfId="2"/>
    <cellStyle name="$0.00" xfId="3"/>
    <cellStyle name="$0_!!!GO" xfId="4"/>
    <cellStyle name="%0" xfId="5"/>
    <cellStyle name="%0.0" xfId="6"/>
    <cellStyle name="%0_02-All-In-Cy-Facer 1f #2" xfId="7"/>
    <cellStyle name="?? [0.00]_PRODUCT DETAIL Q1" xfId="8"/>
    <cellStyle name="?? [0]_1202" xfId="9"/>
    <cellStyle name="???? [0.00]_PRODUCT DETAIL Q1" xfId="10"/>
    <cellStyle name="????_PRODUCT DETAIL Q1" xfId="11"/>
    <cellStyle name="???_HOBONG" xfId="12"/>
    <cellStyle name="??_(????)??????" xfId="13"/>
    <cellStyle name="’Ê‰Ý [0.00]_!!!GO" xfId="14"/>
    <cellStyle name="’Ê‰Ý_!!!GO" xfId="15"/>
    <cellStyle name="•\Ž¦Ï‚Ý‚ÌƒnƒCƒp[ƒŠƒ“ƒN" xfId="16"/>
    <cellStyle name="•W?_!!!GO" xfId="17"/>
    <cellStyle name="•W€_!!!GO" xfId="18"/>
    <cellStyle name="\¦ÏÝÌnCp[N" xfId="19"/>
    <cellStyle name="nCp[N" xfId="20"/>
    <cellStyle name="W_ÊÞÝÆÝ¸Þvæ\" xfId="21"/>
    <cellStyle name="0" xfId="22"/>
    <cellStyle name="0.0" xfId="23"/>
    <cellStyle name="0.00" xfId="24"/>
    <cellStyle name="0_!!!GO" xfId="25"/>
    <cellStyle name="0_02-All-In-Cy-Facer 1f #2" xfId="26"/>
    <cellStyle name="0_2.3L DISI vs. 2.0L DISI TC v3" xfId="27"/>
    <cellStyle name="0_2.3L DISI vs. 2.0L DISI TC v5" xfId="28"/>
    <cellStyle name="0_2_6BIW_CPall_1908" xfId="29"/>
    <cellStyle name="0_2001A PCB Facer 300701" xfId="30"/>
    <cellStyle name="0_2001A PCB Facer EXTERNAL 010801" xfId="31"/>
    <cellStyle name="0_2001PCPa10_TS" xfId="32"/>
    <cellStyle name="0_21F" xfId="33"/>
    <cellStyle name="0_CD340 1PPFEUIB TD Draft 2005 04 08" xfId="34"/>
    <cellStyle name="0_CD340 PVBR Issue#000 updated 2005 04 141" xfId="35"/>
    <cellStyle name="0_CD340 PVBR Issue#005a" xfId="36"/>
    <cellStyle name="0_commodity_190701" xfId="37"/>
    <cellStyle name="0_DEF_FACT (2)" xfId="38"/>
    <cellStyle name="0_DieselStV for MT Review Mar 14" xfId="39"/>
    <cellStyle name="0_download" xfId="40"/>
    <cellStyle name="0_download cd345 pdl feature 31012005" xfId="41"/>
    <cellStyle name="0_EOC Paper 230701_final_4" xfId="42"/>
    <cellStyle name="0_EOC Paper 230701_final_41" xfId="43"/>
    <cellStyle name="0_Features" xfId="44"/>
    <cellStyle name="0_I6 in CD3xx_v6" xfId="45"/>
    <cellStyle name="0_June Freeze Status launch Index" xfId="46"/>
    <cellStyle name="0_P2f" xfId="47"/>
    <cellStyle name="0_Program metrics 251102" xfId="48"/>
    <cellStyle name="0_Sheet2" xfId="49"/>
    <cellStyle name="0_Stage V Ph 1 Dsl Tracking Charts" xfId="50"/>
    <cellStyle name="0_Stage V Ph 1 Dsl Tracking Charts v2" xfId="51"/>
    <cellStyle name="0_Sub B  B Car Cycle Plan Facer" xfId="52"/>
    <cellStyle name="0_WLI Cycle Plan Graph A" xfId="53"/>
    <cellStyle name="1" xfId="54"/>
    <cellStyle name="1_1" xfId="55"/>
    <cellStyle name="1_1_1" xfId="56"/>
    <cellStyle name="1_1_1_D&amp;A" xfId="57"/>
    <cellStyle name="1_1_1_Master_StatusCharts_39adj" xfId="58"/>
    <cellStyle name="1_1_D&amp;A" xfId="59"/>
    <cellStyle name="1_1_Master_StatusCharts_39adj" xfId="60"/>
    <cellStyle name="1_D&amp;A" xfId="61"/>
    <cellStyle name="1_Master_StatusCharts_39adj" xfId="62"/>
    <cellStyle name="1_Summary L" xfId="63"/>
    <cellStyle name="1_Summary L_D&amp;A" xfId="64"/>
    <cellStyle name="1_Summary L_Master_StatusCharts_39adj" xfId="65"/>
    <cellStyle name="ac" xfId="66"/>
    <cellStyle name="AeE­ [0]_INQUIRY ¿?¾÷AßAø " xfId="67"/>
    <cellStyle name="AeE­_INQUIRY ¿?¾÷AßAø " xfId="68"/>
    <cellStyle name="args.style" xfId="69"/>
    <cellStyle name="AÞ¸¶ [0]_INQUIRY ¿?¾÷AßAø " xfId="70"/>
    <cellStyle name="AÞ¸¶_INQUIRY ¿?¾÷AßAø " xfId="71"/>
    <cellStyle name="Bottom Row" xfId="72"/>
    <cellStyle name="BoxedTotal" xfId="73"/>
    <cellStyle name="C?AØ_¿?¾÷CoE² " xfId="74"/>
    <cellStyle name="C￥AØ_¿μ¾÷CoE² " xfId="75"/>
    <cellStyle name="Calc Units (2)" xfId="76"/>
    <cellStyle name="category" xfId="77"/>
    <cellStyle name="Comma [00]" xfId="78"/>
    <cellStyle name="comma zerodec" xfId="79"/>
    <cellStyle name="Comma, 0" xfId="80"/>
    <cellStyle name="Comma[2]" xfId="81"/>
    <cellStyle name="Comma0" xfId="82"/>
    <cellStyle name="Currency $" xfId="83"/>
    <cellStyle name="Currency [00]" xfId="84"/>
    <cellStyle name="Currency[2]" xfId="85"/>
    <cellStyle name="Currency0" xfId="86"/>
    <cellStyle name="Currency1" xfId="87"/>
    <cellStyle name="custom" xfId="88"/>
    <cellStyle name="Date" xfId="89"/>
    <cellStyle name="Date Short" xfId="90"/>
    <cellStyle name="Date_2.3L DISI vs. 2.0L DISI TC v3" xfId="91"/>
    <cellStyle name="Decimal (0)" xfId="92"/>
    <cellStyle name="Decimal (1)" xfId="93"/>
    <cellStyle name="Decimal (2)" xfId="94"/>
    <cellStyle name="dlrs_no_decimal" xfId="95"/>
    <cellStyle name="Dollar (zero dec)" xfId="96"/>
    <cellStyle name="Dollars" xfId="97"/>
    <cellStyle name="Edited_Data" xfId="98"/>
    <cellStyle name="Enter Currency (0)" xfId="99"/>
    <cellStyle name="Enter Currency (2)" xfId="100"/>
    <cellStyle name="Enter Units (0)" xfId="101"/>
    <cellStyle name="Enter Units (1)" xfId="102"/>
    <cellStyle name="Enter Units (2)" xfId="103"/>
    <cellStyle name="Estimated_Data" xfId="104"/>
    <cellStyle name="Euro" xfId="105"/>
    <cellStyle name="Fixed" xfId="106"/>
    <cellStyle name="ƒnƒCƒp[ƒŠƒ“ƒN" xfId="107"/>
    <cellStyle name="Forecast_Data" xfId="108"/>
    <cellStyle name="gap9" xfId="109"/>
    <cellStyle name="Grand Total" xfId="110"/>
    <cellStyle name="Grey" xfId="111"/>
    <cellStyle name="HEADER" xfId="112"/>
    <cellStyle name="Header1" xfId="113"/>
    <cellStyle name="Header2" xfId="114"/>
    <cellStyle name="Heading 1" xfId="115" builtinId="16" customBuiltin="1"/>
    <cellStyle name="Heading 2" xfId="116" builtinId="17" customBuiltin="1"/>
    <cellStyle name="HEADING1" xfId="117"/>
    <cellStyle name="HEADING2" xfId="118"/>
    <cellStyle name="Hyperlink" xfId="205" builtinId="8"/>
    <cellStyle name="Input" xfId="119" builtinId="20" customBuiltin="1"/>
    <cellStyle name="Input [yellow]" xfId="120"/>
    <cellStyle name="Item_Current" xfId="121"/>
    <cellStyle name="Link Currency (0)" xfId="122"/>
    <cellStyle name="Link Currency (2)" xfId="123"/>
    <cellStyle name="Link Units (0)" xfId="124"/>
    <cellStyle name="Link Units (1)" xfId="125"/>
    <cellStyle name="Link Units (2)" xfId="126"/>
    <cellStyle name="mdspezi" xfId="127"/>
    <cellStyle name="Millares [0]_BE91 WSale" xfId="128"/>
    <cellStyle name="Millares_BE91 WSale" xfId="129"/>
    <cellStyle name="Milliers [0]_!!!GO" xfId="130"/>
    <cellStyle name="Milliers_!!!GO" xfId="131"/>
    <cellStyle name="Model" xfId="132"/>
    <cellStyle name="Moeda [0]_laroux" xfId="133"/>
    <cellStyle name="Moeda_laroux" xfId="134"/>
    <cellStyle name="Moneda [0]_BE91 WSale" xfId="135"/>
    <cellStyle name="Moneda_BE91 WSale" xfId="136"/>
    <cellStyle name="Monétaire [0]_!!!GO" xfId="137"/>
    <cellStyle name="Monétaire_!!!GO" xfId="138"/>
    <cellStyle name="New Times Roman" xfId="139"/>
    <cellStyle name="no dec" xfId="140"/>
    <cellStyle name="Normal" xfId="0" builtinId="0"/>
    <cellStyle name="Normal - Style1" xfId="141"/>
    <cellStyle name="Normal 2" xfId="203"/>
    <cellStyle name="Normal 3" xfId="204"/>
    <cellStyle name="Normal 4" xfId="206"/>
    <cellStyle name="Normal Summary" xfId="142"/>
    <cellStyle name="Normal1" xfId="143"/>
    <cellStyle name="Œ…‹æØ‚è [0.00]_!!!GO" xfId="144"/>
    <cellStyle name="Œ…‹æØ‚è_!!!GO" xfId="145"/>
    <cellStyle name="Option_Added_Cont_Desc" xfId="146"/>
    <cellStyle name="per.style" xfId="147"/>
    <cellStyle name="Percent [0]" xfId="148"/>
    <cellStyle name="Percent [00]" xfId="149"/>
    <cellStyle name="Percent [2]" xfId="150"/>
    <cellStyle name="Percent[0]" xfId="151"/>
    <cellStyle name="Percent[2]" xfId="152"/>
    <cellStyle name="PERCENTAGE" xfId="153"/>
    <cellStyle name="Pounds" xfId="154"/>
    <cellStyle name="Preliminary_Data" xfId="155"/>
    <cellStyle name="PrePop Currency (0)" xfId="156"/>
    <cellStyle name="PrePop Currency (2)" xfId="157"/>
    <cellStyle name="PrePop Units (0)" xfId="158"/>
    <cellStyle name="PrePop Units (1)" xfId="159"/>
    <cellStyle name="PrePop Units (2)" xfId="160"/>
    <cellStyle name="Prices_Data" xfId="161"/>
    <cellStyle name="PSChar" xfId="162"/>
    <cellStyle name="PSDate" xfId="163"/>
    <cellStyle name="PSDec" xfId="164"/>
    <cellStyle name="PSHeading" xfId="165"/>
    <cellStyle name="PSInt" xfId="166"/>
    <cellStyle name="PSSpacer" xfId="167"/>
    <cellStyle name="reg_no_decimal" xfId="168"/>
    <cellStyle name="RQDcells" xfId="169"/>
    <cellStyle name="RQDheading" xfId="170"/>
    <cellStyle name="RQDserial" xfId="171"/>
    <cellStyle name="RQDtop" xfId="172"/>
    <cellStyle name="Separador de milhares [0]_laroux" xfId="173"/>
    <cellStyle name="Separador de milhares_laroux" xfId="174"/>
    <cellStyle name="Standard_C1 MCA FM1b_2" xfId="175"/>
    <cellStyle name="Style 1" xfId="176"/>
    <cellStyle name="subhead" xfId="177"/>
    <cellStyle name="Text Indent A" xfId="178"/>
    <cellStyle name="Text Indent B" xfId="179"/>
    <cellStyle name="Text Indent C" xfId="180"/>
    <cellStyle name="Title" xfId="181" builtinId="15" customBuiltin="1"/>
    <cellStyle name="Top Row" xfId="182"/>
    <cellStyle name="Total" xfId="183" builtinId="25" customBuiltin="1"/>
    <cellStyle name="Underline" xfId="184"/>
    <cellStyle name="Vehicle_Benchmark" xfId="185"/>
    <cellStyle name="Version_Header" xfId="186"/>
    <cellStyle name="Volumes_Data" xfId="187"/>
    <cellStyle name="weekly" xfId="188"/>
    <cellStyle name="Wingding" xfId="189"/>
    <cellStyle name="똿뗦먛귟 [0.00]_PRODUCT DETAIL Q1" xfId="190"/>
    <cellStyle name="똿뗦먛귟_PRODUCT DETAIL Q1" xfId="191"/>
    <cellStyle name="믅됞 [0.00]_PRODUCT DETAIL Q1" xfId="192"/>
    <cellStyle name="믅됞_PRODUCT DETAIL Q1" xfId="193"/>
    <cellStyle name="백분율_HOBONG" xfId="194"/>
    <cellStyle name="뷭?_BOOKSHIP" xfId="195"/>
    <cellStyle name="콤마 [0]_1202" xfId="196"/>
    <cellStyle name="콤마_1202" xfId="197"/>
    <cellStyle name="통화 [0]_1202" xfId="198"/>
    <cellStyle name="통화_1202" xfId="199"/>
    <cellStyle name="표준_(정보부문)월별인원계획" xfId="200"/>
    <cellStyle name="一般_PLDT" xfId="201"/>
    <cellStyle name="標準_C1PT14Nov" xfId="202"/>
  </cellStyles>
  <dxfs count="0"/>
  <tableStyles count="0" defaultTableStyle="TableStyleMedium2" defaultPivotStyle="PivotStyleLight16"/>
  <colors>
    <mruColors>
      <color rgb="FF78EEC1"/>
      <color rgb="FFFF66CC"/>
      <color rgb="FFE6DEFA"/>
      <color rgb="FFFFFFCC"/>
      <color rgb="FF99FF99"/>
      <color rgb="FFE1491F"/>
      <color rgb="FF9933FF"/>
      <color rgb="FFCCFFFF"/>
      <color rgb="FF33CC3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customXml" Target="../customXml/item2.xml"/><Relationship Id="rId10" Type="http://schemas.openxmlformats.org/officeDocument/2006/relationships/externalLink" Target="externalLinks/externalLink6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 VEHSPECIFICATIONS FILE AAN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~1\jjaveda1\LOCALS~1\Temp\FTPNSTMP\https:\e3.ford.com\windows\TEMP\C214BoM%2325vsCD13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PROFS\PTSVC6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R00064\proj\Program%20Files\Common%20Files\System\Mapi\1031\NT\DV6%20Fuel%20pump%20update_silveroak%20update%20200904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r00064\proj\PSOCYCLE\jtundo\PMM\011601_PMM\FINAL%20Documents\C1%20Financial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r00064\proj\WINDOWS\TEMP\PACKAGE\rm_98033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r00064\proj\PSOCYCLE\jgulbran\650a%20-%20Feb%202%20Cycle%20Plan\NA%20Ford%20Brand%20Exec%20Summary%20650a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r00064\proj\wow\PVLCA1YY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r00064\proj\PSOCYCLE\jgulbran\645b%20Aug.%2025%20PSC\645B%20Overlays%20&amp;%20Backout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ept.sp.ford.com/sites/DurabilityAttrOrgFoE/Docs/Documents/Carline/C-Car/6.%20PROG%20DATA/C346/B.PASCAR%20C346/U/USERS/ABS/OCMMTG/AX4NPKG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urability/001%20VEHICLES/BELADINGSCHEMA/C1%20ST6/EW5S5772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r00064\proj\WINDOWS\Application%20Data\eRoom\eRoom%20Client\V5\Attachments\%7bCD41D911-ED8B-11D4-809B-00D0B78ED8DE%7d\0_fb9d\CBG%20Look%20-%206+6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ept.sp.ford.com/sites/DurabilityAttrOrgFoE/Docs/Documents/Carline/C-Car/6.%20PROG%20DATA/C346/B.PASCAR%20C346/U/USERS/ABS/OCMMTG/BILLPKG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r00064\proj\PSOCYCLE\jgulbran\650b%20-%201+11\LM%20Exec%20Summary%20650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arranty &amp; Freight"/>
      <sheetName val="Product Actions"/>
      <sheetName val="Design_Non-Design"/>
      <sheetName val="EXCH Other"/>
      <sheetName val="C214 Summary"/>
      <sheetName val="CostWorkshopI"/>
      <sheetName val="CostWorkshopI+"/>
      <sheetName val="Cost Changes"/>
      <sheetName val="Add Features"/>
      <sheetName val="Walk MAC5"/>
      <sheetName val="Dsl Upgrading"/>
      <sheetName val="New Technologies"/>
      <sheetName val="C214 9306#25"/>
      <sheetName val="New Technology old"/>
      <sheetName val="CD132BP"/>
      <sheetName val="C214 9306_25"/>
      <sheetName val="Central Europe (PC)"/>
      <sheetName val="Western Europe"/>
      <sheetName val="Warranty_&amp;_Freight"/>
      <sheetName val="Product_Actions"/>
      <sheetName val="EXCH_Other"/>
      <sheetName val="C214_Summary"/>
      <sheetName val="Cost_Changes"/>
      <sheetName val="Add_Features"/>
      <sheetName val="Walk_MAC5"/>
      <sheetName val="Dsl_Upgrading"/>
      <sheetName val="New_Technologies"/>
      <sheetName val="C214_9306#25"/>
      <sheetName val="New_Technology_old"/>
      <sheetName val="Warranty_&amp;_Freight1"/>
      <sheetName val="Product_Actions1"/>
      <sheetName val="EXCH_Other1"/>
      <sheetName val="C214_Summary1"/>
      <sheetName val="Cost_Changes1"/>
      <sheetName val="Add_Features1"/>
      <sheetName val="Walk_MAC51"/>
      <sheetName val="Dsl_Upgrading1"/>
      <sheetName val="New_Technologies1"/>
      <sheetName val="C214_9306#251"/>
      <sheetName val="New_Technology_old1"/>
      <sheetName val="C214BoM#25vsCD132"/>
      <sheetName val="Results"/>
      <sheetName val="DESC_MAC.XL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 not print- input"/>
      <sheetName val="Front Cover"/>
      <sheetName val="PTO summary graph"/>
      <sheetName val="PTO summary"/>
      <sheetName val="PTO summary DCR"/>
      <sheetName val="Do not print -full year"/>
      <sheetName val="Do not print -qtr full year"/>
      <sheetName val="Donotprint_input"/>
      <sheetName val="Comentarios"/>
      <sheetName val="Análisis económico"/>
      <sheetName val="Gráfico"/>
      <sheetName val="Resumen Versiones"/>
      <sheetName val="Volumenes"/>
      <sheetName val="Tabla seguimiento"/>
      <sheetName val="REAL gastos"/>
      <sheetName val="REAL horas"/>
      <sheetName val="REAL utillajes y activos"/>
      <sheetName val="BD gastos"/>
      <sheetName val=" BD horas"/>
      <sheetName val="BD Utillajes y activos"/>
      <sheetName val="Do not print_ input"/>
      <sheetName val="96isstoiss"/>
      <sheetName val="kc"/>
      <sheetName val="Vols&amp;Fixed Costs"/>
      <sheetName val="Define"/>
      <sheetName val="Option Mix"/>
      <sheetName val="Features"/>
      <sheetName val="20-Astra"/>
      <sheetName val="Do_not_print-_input"/>
      <sheetName val="Front_Cover"/>
      <sheetName val="PTO_summary_graph"/>
      <sheetName val="PTO_summary"/>
      <sheetName val="PTO_summary_DCR"/>
      <sheetName val="Do_not_print_-full_year"/>
      <sheetName val="Do_not_print_-qtr_full_year"/>
      <sheetName val="Análisis_económico"/>
      <sheetName val="Resumen_Versiones"/>
      <sheetName val="Tabla_seguimiento"/>
      <sheetName val="REAL_gastos"/>
      <sheetName val="REAL_horas"/>
      <sheetName val="REAL_utillajes_y_activos"/>
      <sheetName val="BD_gastos"/>
      <sheetName val="_BD_horas"/>
      <sheetName val="BD_Utillajes_y_activos"/>
      <sheetName val="Do_not_print__input"/>
      <sheetName val="Do_not_print-_input1"/>
      <sheetName val="Front_Cover1"/>
      <sheetName val="PTO_summary_graph1"/>
      <sheetName val="PTO_summary1"/>
      <sheetName val="PTO_summary_DCR1"/>
      <sheetName val="Do_not_print_-full_year1"/>
      <sheetName val="Do_not_print_-qtr_full_year1"/>
      <sheetName val="Análisis_económico1"/>
      <sheetName val="Resumen_Versiones1"/>
      <sheetName val="Tabla_seguimiento1"/>
      <sheetName val="REAL_gastos1"/>
      <sheetName val="REAL_horas1"/>
      <sheetName val="REAL_utillajes_y_activos1"/>
      <sheetName val="BD_gastos1"/>
      <sheetName val="_BD_horas1"/>
      <sheetName val="BD_Utillajes_y_activos1"/>
      <sheetName val="Do_not_print__input1"/>
      <sheetName val="Do_not_print-_input2"/>
      <sheetName val="Front_Cover2"/>
      <sheetName val="PTO_summary_graph2"/>
      <sheetName val="PTO_summary2"/>
      <sheetName val="PTO_summary_DCR2"/>
      <sheetName val="Do_not_print_-full_year2"/>
      <sheetName val="Do_not_print_-qtr_full_year2"/>
      <sheetName val="Análisis_económico2"/>
      <sheetName val="Resumen_Versiones2"/>
      <sheetName val="Tabla_seguimiento2"/>
      <sheetName val="REAL_gastos2"/>
      <sheetName val="REAL_horas2"/>
      <sheetName val="REAL_utillajes_y_activos2"/>
      <sheetName val="BD_gastos2"/>
      <sheetName val="_BD_horas2"/>
      <sheetName val="BD_Utillajes_y_activos2"/>
      <sheetName val="Do_not_print__input2"/>
      <sheetName val="PTSVC6"/>
    </sheetNames>
    <sheetDataSet>
      <sheetData sheetId="0" refreshError="1">
        <row r="9">
          <cell r="AS9" t="str">
            <v>Full Year 1997</v>
          </cell>
        </row>
        <row r="10">
          <cell r="N10" t="str">
            <v>Status b/(w)</v>
          </cell>
          <cell r="X10" t="str">
            <v xml:space="preserve">planned </v>
          </cell>
          <cell r="Z10" t="str">
            <v xml:space="preserve">b/(w) </v>
          </cell>
          <cell r="BC10" t="str">
            <v>planned</v>
          </cell>
          <cell r="BE10" t="str">
            <v xml:space="preserve">b/(w) </v>
          </cell>
          <cell r="BG10" t="str">
            <v xml:space="preserve">b/(w) </v>
          </cell>
        </row>
        <row r="11">
          <cell r="D11" t="str">
            <v>VC A Mix</v>
          </cell>
          <cell r="N11" t="str">
            <v>Objective</v>
          </cell>
          <cell r="X11" t="str">
            <v>savings</v>
          </cell>
          <cell r="Z11" t="str">
            <v>objective</v>
          </cell>
          <cell r="AS11" t="str">
            <v>Forecast</v>
          </cell>
          <cell r="BC11" t="str">
            <v>savings</v>
          </cell>
          <cell r="BE11" t="str">
            <v>Objective</v>
          </cell>
          <cell r="BG11" t="str">
            <v>Prior</v>
          </cell>
        </row>
        <row r="14">
          <cell r="D14">
            <v>0.10497782158698866</v>
          </cell>
          <cell r="N14">
            <v>-70</v>
          </cell>
          <cell r="X14">
            <v>32</v>
          </cell>
          <cell r="Z14">
            <v>-24</v>
          </cell>
          <cell r="AS14">
            <v>652</v>
          </cell>
          <cell r="BC14">
            <v>64</v>
          </cell>
          <cell r="BE14">
            <v>-20</v>
          </cell>
          <cell r="BG14">
            <v>10</v>
          </cell>
        </row>
        <row r="16">
          <cell r="D16">
            <v>6.8013799901429278E-2</v>
          </cell>
          <cell r="N16">
            <v>-70</v>
          </cell>
          <cell r="X16">
            <v>33</v>
          </cell>
          <cell r="Z16">
            <v>-28</v>
          </cell>
          <cell r="AS16">
            <v>565</v>
          </cell>
          <cell r="BC16">
            <v>77</v>
          </cell>
          <cell r="BE16">
            <v>-9</v>
          </cell>
          <cell r="BG16">
            <v>1</v>
          </cell>
        </row>
        <row r="18">
          <cell r="D18">
            <v>0</v>
          </cell>
          <cell r="N18">
            <v>0</v>
          </cell>
          <cell r="X18" t="str">
            <v/>
          </cell>
          <cell r="Z18" t="str">
            <v/>
          </cell>
          <cell r="BC18" t="str">
            <v/>
          </cell>
          <cell r="BE18" t="str">
            <v/>
          </cell>
          <cell r="BG18" t="str">
            <v>N/A</v>
          </cell>
        </row>
        <row r="20">
          <cell r="D20">
            <v>0.1172991621488418</v>
          </cell>
          <cell r="N20">
            <v>-31</v>
          </cell>
          <cell r="X20">
            <v>29</v>
          </cell>
          <cell r="Z20">
            <v>-6</v>
          </cell>
          <cell r="AS20">
            <v>929</v>
          </cell>
          <cell r="BC20">
            <v>62</v>
          </cell>
          <cell r="BE20">
            <v>6</v>
          </cell>
          <cell r="BG20">
            <v>6</v>
          </cell>
        </row>
        <row r="22">
          <cell r="D22">
            <v>0.11089206505667816</v>
          </cell>
          <cell r="N22">
            <v>3</v>
          </cell>
          <cell r="X22">
            <v>-5</v>
          </cell>
          <cell r="Z22">
            <v>-11</v>
          </cell>
          <cell r="AS22">
            <v>816</v>
          </cell>
          <cell r="BC22">
            <v>24</v>
          </cell>
          <cell r="BE22">
            <v>-1</v>
          </cell>
          <cell r="BG22">
            <v>0</v>
          </cell>
        </row>
        <row r="24">
          <cell r="D24">
            <v>0.10892065056678167</v>
          </cell>
          <cell r="N24">
            <v>13</v>
          </cell>
          <cell r="X24">
            <v>2</v>
          </cell>
          <cell r="Z24">
            <v>-5</v>
          </cell>
          <cell r="AS24">
            <v>838</v>
          </cell>
          <cell r="BC24">
            <v>25</v>
          </cell>
          <cell r="BE24">
            <v>12</v>
          </cell>
          <cell r="BG24">
            <v>0</v>
          </cell>
        </row>
        <row r="26">
          <cell r="D26">
            <v>0.11631345490389354</v>
          </cell>
          <cell r="N26">
            <v>23</v>
          </cell>
          <cell r="X26">
            <v>5</v>
          </cell>
          <cell r="Z26">
            <v>33</v>
          </cell>
          <cell r="AS26">
            <v>896</v>
          </cell>
          <cell r="BC26">
            <v>32</v>
          </cell>
          <cell r="BE26">
            <v>45</v>
          </cell>
          <cell r="BG26">
            <v>0</v>
          </cell>
        </row>
        <row r="28">
          <cell r="D28">
            <v>1.330704780680138E-2</v>
          </cell>
          <cell r="N28">
            <v>-110</v>
          </cell>
          <cell r="X28">
            <v>22</v>
          </cell>
          <cell r="Z28">
            <v>-37</v>
          </cell>
          <cell r="AS28">
            <v>1411</v>
          </cell>
          <cell r="BC28">
            <v>118</v>
          </cell>
          <cell r="BE28">
            <v>-29</v>
          </cell>
          <cell r="BG28">
            <v>0</v>
          </cell>
        </row>
        <row r="30">
          <cell r="D30">
            <v>0.1818629866929522</v>
          </cell>
          <cell r="N30">
            <v>-15</v>
          </cell>
          <cell r="X30">
            <v>6</v>
          </cell>
          <cell r="Z30">
            <v>3</v>
          </cell>
          <cell r="AS30">
            <v>736</v>
          </cell>
          <cell r="BC30">
            <v>4</v>
          </cell>
          <cell r="BE30">
            <v>-14</v>
          </cell>
          <cell r="BG30">
            <v>0</v>
          </cell>
        </row>
        <row r="32">
          <cell r="D32">
            <v>5.9635288319369151E-2</v>
          </cell>
          <cell r="N32">
            <v>-60</v>
          </cell>
          <cell r="X32">
            <v>9</v>
          </cell>
          <cell r="Z32">
            <v>-41</v>
          </cell>
          <cell r="AS32">
            <v>1389</v>
          </cell>
          <cell r="BC32">
            <v>96</v>
          </cell>
          <cell r="BE32">
            <v>-6</v>
          </cell>
          <cell r="BG32">
            <v>-8</v>
          </cell>
        </row>
        <row r="34">
          <cell r="D34">
            <v>4.5342533267619514E-2</v>
          </cell>
          <cell r="N34">
            <v>-153</v>
          </cell>
          <cell r="X34">
            <v>19</v>
          </cell>
          <cell r="Z34">
            <v>-50</v>
          </cell>
          <cell r="AS34">
            <v>1650</v>
          </cell>
          <cell r="BC34">
            <v>127</v>
          </cell>
          <cell r="BE34">
            <v>-68</v>
          </cell>
          <cell r="BG34">
            <v>1</v>
          </cell>
        </row>
        <row r="36">
          <cell r="D36">
            <v>2.5135534746180386E-2</v>
          </cell>
          <cell r="N36">
            <v>-83</v>
          </cell>
          <cell r="X36">
            <v>9</v>
          </cell>
          <cell r="Z36">
            <v>-44</v>
          </cell>
          <cell r="AS36">
            <v>1678</v>
          </cell>
          <cell r="BC36">
            <v>116</v>
          </cell>
          <cell r="BE36">
            <v>-10</v>
          </cell>
          <cell r="BG36">
            <v>-2</v>
          </cell>
        </row>
        <row r="38">
          <cell r="D38">
            <v>4.8299655002464269E-2</v>
          </cell>
          <cell r="N38">
            <v>-71</v>
          </cell>
          <cell r="X38">
            <v>13</v>
          </cell>
          <cell r="Z38">
            <v>-45</v>
          </cell>
          <cell r="AS38">
            <v>1690</v>
          </cell>
          <cell r="BC38">
            <v>118</v>
          </cell>
          <cell r="BE38">
            <v>-2</v>
          </cell>
          <cell r="BG38">
            <v>-1</v>
          </cell>
        </row>
        <row r="40">
          <cell r="D40">
            <v>0.99999999999999989</v>
          </cell>
          <cell r="N40">
            <v>-31.544603252833667</v>
          </cell>
          <cell r="X40">
            <v>12.886643666830878</v>
          </cell>
          <cell r="Z40">
            <v>-10.992114342040281</v>
          </cell>
          <cell r="AS40">
            <v>935.90438639723982</v>
          </cell>
          <cell r="BC40">
            <v>50.730901922129192</v>
          </cell>
          <cell r="BE40">
            <v>-2.2986692952189287</v>
          </cell>
          <cell r="BG40">
            <v>1.2912764908822081</v>
          </cell>
        </row>
        <row r="42">
          <cell r="D42">
            <v>0.15684830633284241</v>
          </cell>
          <cell r="N42">
            <v>-5</v>
          </cell>
          <cell r="X42">
            <v>7</v>
          </cell>
          <cell r="Z42">
            <v>1</v>
          </cell>
          <cell r="AS42">
            <v>286</v>
          </cell>
          <cell r="BC42">
            <v>16</v>
          </cell>
          <cell r="BE42">
            <v>3</v>
          </cell>
          <cell r="BG42">
            <v>0</v>
          </cell>
        </row>
        <row r="44">
          <cell r="D44">
            <v>0.36082474226804123</v>
          </cell>
          <cell r="N44">
            <v>-4</v>
          </cell>
          <cell r="X44">
            <v>6</v>
          </cell>
          <cell r="Z44">
            <v>1</v>
          </cell>
          <cell r="AS44">
            <v>280</v>
          </cell>
          <cell r="BC44">
            <v>15</v>
          </cell>
          <cell r="BE44">
            <v>3</v>
          </cell>
          <cell r="BG44">
            <v>0</v>
          </cell>
        </row>
        <row r="46">
          <cell r="D46">
            <v>0.23784977908689248</v>
          </cell>
          <cell r="N46">
            <v>-26</v>
          </cell>
          <cell r="X46">
            <v>4</v>
          </cell>
          <cell r="Z46">
            <v>-22</v>
          </cell>
          <cell r="AS46">
            <v>309</v>
          </cell>
          <cell r="BC46">
            <v>26</v>
          </cell>
          <cell r="BE46">
            <v>-7</v>
          </cell>
          <cell r="BG46">
            <v>0</v>
          </cell>
        </row>
        <row r="48">
          <cell r="D48">
            <v>0</v>
          </cell>
          <cell r="N48">
            <v>0</v>
          </cell>
          <cell r="X48" t="str">
            <v/>
          </cell>
          <cell r="Z48" t="str">
            <v/>
          </cell>
          <cell r="BC48" t="str">
            <v/>
          </cell>
          <cell r="BE48" t="str">
            <v/>
          </cell>
          <cell r="BG48" t="str">
            <v>N/A</v>
          </cell>
        </row>
        <row r="50">
          <cell r="D50">
            <v>0.21354933726067746</v>
          </cell>
          <cell r="N50">
            <v>-61</v>
          </cell>
          <cell r="X50">
            <v>5</v>
          </cell>
          <cell r="Z50">
            <v>-46</v>
          </cell>
          <cell r="AS50">
            <v>427</v>
          </cell>
          <cell r="BC50">
            <v>34</v>
          </cell>
          <cell r="BE50">
            <v>-37</v>
          </cell>
          <cell r="BG50">
            <v>0</v>
          </cell>
        </row>
        <row r="52">
          <cell r="D52">
            <v>3.0927835051546393E-2</v>
          </cell>
          <cell r="N52">
            <v>-59</v>
          </cell>
          <cell r="X52">
            <v>5</v>
          </cell>
          <cell r="Z52">
            <v>-46</v>
          </cell>
          <cell r="AS52">
            <v>492</v>
          </cell>
          <cell r="BC52">
            <v>34</v>
          </cell>
          <cell r="BE52">
            <v>-35</v>
          </cell>
          <cell r="BG52">
            <v>0</v>
          </cell>
        </row>
        <row r="54">
          <cell r="D54">
            <v>1</v>
          </cell>
          <cell r="N54">
            <v>-23.262886597938145</v>
          </cell>
          <cell r="X54">
            <v>5.4366715758468338</v>
          </cell>
          <cell r="Z54">
            <v>-15.960972017673049</v>
          </cell>
          <cell r="AS54">
            <v>325.78718703976438</v>
          </cell>
          <cell r="BC54">
            <v>22.418262150220912</v>
          </cell>
          <cell r="BE54">
            <v>-8.4957290132547865</v>
          </cell>
          <cell r="BG54">
            <v>0</v>
          </cell>
        </row>
        <row r="56">
          <cell r="D56">
            <v>4.0208136234626303E-2</v>
          </cell>
          <cell r="N56">
            <v>0</v>
          </cell>
          <cell r="X56">
            <v>51</v>
          </cell>
          <cell r="Z56">
            <v>70</v>
          </cell>
          <cell r="AS56">
            <v>1663</v>
          </cell>
          <cell r="BC56">
            <v>90</v>
          </cell>
          <cell r="BE56">
            <v>95</v>
          </cell>
          <cell r="BG56">
            <v>0</v>
          </cell>
        </row>
        <row r="58">
          <cell r="D58">
            <v>5.3658536585365853E-2</v>
          </cell>
          <cell r="N58">
            <v>-66</v>
          </cell>
          <cell r="X58">
            <v>5</v>
          </cell>
          <cell r="Z58">
            <v>2</v>
          </cell>
          <cell r="AS58">
            <v>746</v>
          </cell>
          <cell r="BC58">
            <v>30</v>
          </cell>
          <cell r="BE58">
            <v>-71</v>
          </cell>
          <cell r="BG58">
            <v>0</v>
          </cell>
        </row>
        <row r="60">
          <cell r="N60">
            <v>-55.944946225927673</v>
          </cell>
          <cell r="X60">
            <v>19.867235870911077</v>
          </cell>
          <cell r="Z60">
            <v>-22.793484013472149</v>
          </cell>
          <cell r="AS60">
            <v>1315.819572119532</v>
          </cell>
          <cell r="BC60">
            <v>75.275032758697449</v>
          </cell>
          <cell r="BE60">
            <v>-10.262875987009471</v>
          </cell>
          <cell r="BG60">
            <v>1.2413635751364203</v>
          </cell>
        </row>
        <row r="65">
          <cell r="N65" t="str">
            <v>$</v>
          </cell>
          <cell r="X65">
            <v>0</v>
          </cell>
          <cell r="Z65">
            <v>0</v>
          </cell>
          <cell r="BG65">
            <v>0</v>
          </cell>
        </row>
        <row r="66">
          <cell r="BG66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V6 Fuel pump update_silveroak "/>
      <sheetName val="#BEZUG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 Financials"/>
      <sheetName val="Cal"/>
      <sheetName val="Allocation"/>
      <sheetName val="Rev"/>
      <sheetName val="Map"/>
      <sheetName val="Volumes"/>
      <sheetName val="VL PBT"/>
      <sheetName val="#REF"/>
      <sheetName val="Status Summary - Incurred"/>
      <sheetName val="GIFS Data -- Test"/>
      <sheetName val="GIFS Data -- New"/>
      <sheetName val="VLPBT"/>
      <sheetName val="_REF"/>
      <sheetName val="C1_Financials"/>
      <sheetName val="VL_PBT"/>
      <sheetName val="Status_Summary_-_Incurred"/>
      <sheetName val="GIFS_Data_--_Test"/>
      <sheetName val="GIFS_Data_--_New"/>
      <sheetName val="C1_Financials1"/>
      <sheetName val="VL_PBT1"/>
      <sheetName val="Status_Summary_-_Incurred1"/>
      <sheetName val="GIFS_Data_--_Test1"/>
      <sheetName val="GIFS_Data_--_New1"/>
      <sheetName val="C1_Financials2"/>
      <sheetName val="VL_PBT2"/>
      <sheetName val="Status_Summary_-_Incurred2"/>
      <sheetName val="GIFS_Data_--_Test2"/>
      <sheetName val="GIFS_Data_--_New2"/>
      <sheetName val="Parameters"/>
      <sheetName val="Eq_Com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Links"/>
      <sheetName val="DataLinks"/>
      <sheetName val="C214 9306#25"/>
      <sheetName val="Data_Links"/>
      <sheetName val="Data_Links1"/>
      <sheetName val="Data_Links2"/>
      <sheetName val="Turnover by Commodity"/>
      <sheetName val="Sheet1"/>
      <sheetName val="STR_XLT"/>
    </sheetNames>
    <sheetDataSet>
      <sheetData sheetId="0" refreshError="1">
        <row r="5">
          <cell r="B5" t="str">
            <v>B</v>
          </cell>
          <cell r="C5">
            <v>1</v>
          </cell>
        </row>
        <row r="6">
          <cell r="B6" t="str">
            <v>H</v>
          </cell>
          <cell r="C6">
            <v>0.75</v>
          </cell>
        </row>
        <row r="7">
          <cell r="B7" t="str">
            <v>L</v>
          </cell>
          <cell r="C7">
            <v>0.25</v>
          </cell>
        </row>
        <row r="8">
          <cell r="B8" t="str">
            <v>M</v>
          </cell>
          <cell r="C8">
            <v>0.5</v>
          </cell>
        </row>
        <row r="9">
          <cell r="B9" t="str">
            <v>R</v>
          </cell>
          <cell r="C9">
            <v>0</v>
          </cell>
        </row>
        <row r="10">
          <cell r="B10" t="str">
            <v>TBE</v>
          </cell>
          <cell r="C10">
            <v>0</v>
          </cell>
        </row>
      </sheetData>
      <sheetData sheetId="1"/>
      <sheetData sheetId="2" refreshError="1"/>
      <sheetData sheetId="3"/>
      <sheetData sheetId="4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 650a"/>
      <sheetName val="NA 10+2"/>
      <sheetName val="NA Ford Mgmt Sum"/>
      <sheetName val="NA Ford Exec Summary"/>
      <sheetName val="NA Ford Mgmt Sum B(W)"/>
      <sheetName val="650 b(w) 647 NA"/>
      <sheetName val="NA650a"/>
      <sheetName val="NAFordMgmtSum"/>
      <sheetName val="EXPORT"/>
      <sheetName val="V188 First Launch"/>
      <sheetName val="RIEPILOGO PERCENTUALI"/>
      <sheetName val="NA_650a"/>
      <sheetName val="NA_10+2"/>
      <sheetName val="NA_Ford_Mgmt_Sum"/>
      <sheetName val="NA_Ford_Exec_Summary"/>
      <sheetName val="NA_Ford_Mgmt_Sum_B(W)"/>
      <sheetName val="650_b(w)_647_NA"/>
      <sheetName val="NA_650a1"/>
      <sheetName val="NA_10+21"/>
      <sheetName val="NA_Ford_Mgmt_Sum1"/>
      <sheetName val="NA_Ford_Exec_Summary1"/>
      <sheetName val="NA_Ford_Mgmt_Sum_B(W)1"/>
      <sheetName val="650_b(w)_647_NA1"/>
      <sheetName val="NA_650a2"/>
      <sheetName val="NA_10+22"/>
      <sheetName val="NA_Ford_Mgmt_Sum2"/>
      <sheetName val="NA_Ford_Exec_Summary2"/>
      <sheetName val="NA_Ford_Mgmt_Sum_B(W)2"/>
      <sheetName val="650_b(w)_647_NA2"/>
      <sheetName val="STRUCTURE"/>
    </sheetNames>
    <sheetDataSet>
      <sheetData sheetId="0" refreshError="1">
        <row r="1">
          <cell r="C1" t="str">
            <v>PIN#</v>
          </cell>
          <cell r="D1" t="str">
            <v>Program Description</v>
          </cell>
          <cell r="E1" t="str">
            <v>Mgmt Sort</v>
          </cell>
          <cell r="F1" t="str">
            <v>Job #1 Date</v>
          </cell>
          <cell r="G1" t="str">
            <v>Total Program TFLE</v>
          </cell>
          <cell r="H1" t="str">
            <v>Total Program Cap F&amp;T</v>
          </cell>
          <cell r="I1" t="str">
            <v>VL Cap F&amp;T as % of Total Program</v>
          </cell>
          <cell r="J1" t="str">
            <v>Vehicle Line Cap F&amp;T</v>
          </cell>
          <cell r="K1" t="str">
            <v>2000</v>
          </cell>
          <cell r="L1" t="str">
            <v>2001</v>
          </cell>
          <cell r="M1" t="str">
            <v>2002</v>
          </cell>
          <cell r="N1" t="str">
            <v>2003</v>
          </cell>
          <cell r="O1" t="str">
            <v>2004</v>
          </cell>
          <cell r="P1" t="str">
            <v>2005</v>
          </cell>
          <cell r="Q1" t="str">
            <v>2001-2005</v>
          </cell>
        </row>
        <row r="2">
          <cell r="C2" t="str">
            <v>00Z20</v>
          </cell>
          <cell r="D2" t="str">
            <v>U137 - SUBURBAN FIGHTER</v>
          </cell>
          <cell r="E2" t="str">
            <v>2000 Excursion (U137)</v>
          </cell>
          <cell r="F2">
            <v>36373</v>
          </cell>
          <cell r="G2">
            <v>408.97699999999998</v>
          </cell>
          <cell r="H2">
            <v>270.57400000000001</v>
          </cell>
          <cell r="I2">
            <v>1</v>
          </cell>
          <cell r="J2">
            <v>270.57400000000001</v>
          </cell>
          <cell r="K2">
            <v>20.632999999999999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</row>
        <row r="3">
          <cell r="C3" t="str">
            <v>00L20</v>
          </cell>
          <cell r="D3" t="str">
            <v>CW170 FOR N. AMERICA</v>
          </cell>
          <cell r="E3" t="str">
            <v>2000 Focus (C170)</v>
          </cell>
          <cell r="F3">
            <v>36373</v>
          </cell>
          <cell r="G3">
            <v>891.92499999999995</v>
          </cell>
          <cell r="H3">
            <v>749.48599999999999</v>
          </cell>
          <cell r="I3">
            <v>0.99963841886306082</v>
          </cell>
          <cell r="J3">
            <v>749.21500000000003</v>
          </cell>
          <cell r="K3">
            <v>88.728999999999999</v>
          </cell>
          <cell r="L3">
            <v>0.47299999999999998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0.47299999999999998</v>
          </cell>
        </row>
        <row r="4">
          <cell r="C4" t="str">
            <v>00L23</v>
          </cell>
          <cell r="D4" t="str">
            <v>C170 3-Door at Hermosillo</v>
          </cell>
          <cell r="E4" t="str">
            <v>2000 Focus (C170)</v>
          </cell>
          <cell r="F4">
            <v>36437</v>
          </cell>
          <cell r="G4">
            <v>77.643000000000001</v>
          </cell>
          <cell r="H4">
            <v>62.859000000000002</v>
          </cell>
          <cell r="I4">
            <v>1</v>
          </cell>
          <cell r="J4">
            <v>62.859000000000002</v>
          </cell>
          <cell r="K4">
            <v>20.074999999999999</v>
          </cell>
          <cell r="L4">
            <v>1.956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1.956</v>
          </cell>
        </row>
        <row r="5">
          <cell r="C5" t="str">
            <v>00L50</v>
          </cell>
          <cell r="D5" t="str">
            <v>C170-2.0L SPI Installation</v>
          </cell>
          <cell r="E5" t="str">
            <v>2000 Focus (C170)</v>
          </cell>
          <cell r="F5">
            <v>36373</v>
          </cell>
          <cell r="G5">
            <v>28.393000000000001</v>
          </cell>
          <cell r="H5">
            <v>24.817</v>
          </cell>
          <cell r="I5">
            <v>1</v>
          </cell>
          <cell r="J5">
            <v>24.817</v>
          </cell>
          <cell r="K5">
            <v>1.002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</row>
        <row r="6">
          <cell r="C6" t="str">
            <v>00H00</v>
          </cell>
          <cell r="D6" t="str">
            <v>DW186 FRESHENING (incl. LEV)</v>
          </cell>
          <cell r="E6" t="str">
            <v>2000 Taurus/Sable (D186)</v>
          </cell>
          <cell r="F6">
            <v>36437</v>
          </cell>
          <cell r="G6">
            <v>768.20299999999997</v>
          </cell>
          <cell r="H6">
            <v>453.76400000000001</v>
          </cell>
          <cell r="I6">
            <v>0.79729438871307545</v>
          </cell>
          <cell r="J6">
            <v>361.78349099999997</v>
          </cell>
          <cell r="K6">
            <v>84.586323000000007</v>
          </cell>
          <cell r="L6">
            <v>1.7924789999999999</v>
          </cell>
          <cell r="M6">
            <v>8.8689000000000004E-2</v>
          </cell>
          <cell r="N6">
            <v>0</v>
          </cell>
          <cell r="O6">
            <v>0</v>
          </cell>
          <cell r="P6">
            <v>0</v>
          </cell>
          <cell r="Q6">
            <v>1.881168</v>
          </cell>
        </row>
        <row r="7">
          <cell r="C7" t="str">
            <v>00H05</v>
          </cell>
          <cell r="D7" t="str">
            <v>Taurus/Sable Quality Action</v>
          </cell>
          <cell r="E7" t="str">
            <v>2000 Taurus/Sable (D186)</v>
          </cell>
          <cell r="F7">
            <v>36739</v>
          </cell>
          <cell r="G7">
            <v>2.75</v>
          </cell>
          <cell r="H7">
            <v>2.65</v>
          </cell>
          <cell r="I7">
            <v>1</v>
          </cell>
          <cell r="J7">
            <v>2.65</v>
          </cell>
          <cell r="K7">
            <v>1.5660000000000001</v>
          </cell>
          <cell r="L7">
            <v>1.0840000000000001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1.0840000000000001</v>
          </cell>
        </row>
        <row r="8">
          <cell r="C8" t="str">
            <v>00X01</v>
          </cell>
          <cell r="D8" t="str">
            <v>PN96/102/UN96/173 FRESH</v>
          </cell>
          <cell r="E8" t="str">
            <v>2000/2001 F-Series U8500 Freshening &amp; Cust. Sat.</v>
          </cell>
          <cell r="F8">
            <v>36374</v>
          </cell>
          <cell r="G8">
            <v>83.206999999999994</v>
          </cell>
          <cell r="H8">
            <v>47.404000000000003</v>
          </cell>
          <cell r="I8">
            <v>1</v>
          </cell>
          <cell r="J8">
            <v>47.404000000000003</v>
          </cell>
          <cell r="K8">
            <v>13.705</v>
          </cell>
          <cell r="L8">
            <v>0</v>
          </cell>
          <cell r="M8">
            <v>1.728</v>
          </cell>
          <cell r="N8">
            <v>0</v>
          </cell>
          <cell r="O8">
            <v>0</v>
          </cell>
          <cell r="P8">
            <v>0</v>
          </cell>
          <cell r="Q8">
            <v>1.728</v>
          </cell>
        </row>
        <row r="9">
          <cell r="C9" t="str">
            <v>00X06</v>
          </cell>
          <cell r="D9" t="str">
            <v>PN96 Harley Davidson</v>
          </cell>
          <cell r="E9" t="str">
            <v>2000/2001 F-Series U8500 Freshening &amp; Cust. Sat.</v>
          </cell>
          <cell r="F9">
            <v>36654</v>
          </cell>
          <cell r="G9">
            <v>6.617</v>
          </cell>
          <cell r="H9">
            <v>4.3819999999999997</v>
          </cell>
          <cell r="I9">
            <v>1</v>
          </cell>
          <cell r="J9">
            <v>4.3819999999999997</v>
          </cell>
          <cell r="K9">
            <v>1.548</v>
          </cell>
          <cell r="L9">
            <v>2.819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2.819</v>
          </cell>
        </row>
        <row r="10">
          <cell r="C10" t="str">
            <v>00X36</v>
          </cell>
          <cell r="D10" t="str">
            <v>PN96 Wheel/Tire Bal Equipt</v>
          </cell>
          <cell r="E10" t="str">
            <v>2000/2001 F-Series U8500 Freshening &amp; Cust. Sat.</v>
          </cell>
          <cell r="F10">
            <v>36526</v>
          </cell>
          <cell r="G10">
            <v>5.98</v>
          </cell>
          <cell r="H10">
            <v>5.9180000000000001</v>
          </cell>
          <cell r="I10">
            <v>1</v>
          </cell>
          <cell r="J10">
            <v>5.9180000000000001</v>
          </cell>
          <cell r="K10">
            <v>2.0990000000000002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</row>
        <row r="11">
          <cell r="C11" t="str">
            <v>00X40</v>
          </cell>
          <cell r="D11" t="str">
            <v>(G) PN96-KC Line Rate Incr.</v>
          </cell>
          <cell r="E11" t="str">
            <v>2000/2001 F-Series U8500 Freshening &amp; Cust. Sat.</v>
          </cell>
          <cell r="F11">
            <v>36526</v>
          </cell>
          <cell r="G11">
            <v>17.513000000000002</v>
          </cell>
          <cell r="H11">
            <v>13.525</v>
          </cell>
          <cell r="I11">
            <v>1</v>
          </cell>
          <cell r="J11">
            <v>13.525</v>
          </cell>
          <cell r="K11">
            <v>5.8529999999999998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</row>
        <row r="12">
          <cell r="C12" t="str">
            <v>01X08</v>
          </cell>
          <cell r="D12" t="str">
            <v>2001 PN96/P225 Cust. Satisf</v>
          </cell>
          <cell r="E12" t="str">
            <v>2000/2001 F-Series U8500 Freshening &amp; Cust. Sat.</v>
          </cell>
          <cell r="F12">
            <v>36801</v>
          </cell>
          <cell r="G12">
            <v>29.521999999999998</v>
          </cell>
          <cell r="H12">
            <v>21.372</v>
          </cell>
          <cell r="I12">
            <v>1</v>
          </cell>
          <cell r="J12">
            <v>21.372</v>
          </cell>
          <cell r="K12">
            <v>8.218</v>
          </cell>
          <cell r="L12">
            <v>4.1539999999999999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13.154</v>
          </cell>
        </row>
        <row r="13">
          <cell r="C13" t="str">
            <v>00L24</v>
          </cell>
          <cell r="D13" t="str">
            <v>CT120 Sedan Cont in Hermosi</v>
          </cell>
          <cell r="E13" t="str">
            <v>2000-1/2 Escort at Hermosillo</v>
          </cell>
          <cell r="F13">
            <v>36557</v>
          </cell>
          <cell r="G13">
            <v>22.994</v>
          </cell>
          <cell r="H13">
            <v>11.997999999999999</v>
          </cell>
          <cell r="I13">
            <v>1</v>
          </cell>
          <cell r="J13">
            <v>11.997999999999999</v>
          </cell>
          <cell r="K13">
            <v>8.6029999999999998</v>
          </cell>
          <cell r="L13">
            <v>0.22800000000000001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0.22800000000000001</v>
          </cell>
        </row>
        <row r="14">
          <cell r="C14" t="str">
            <v>00501</v>
          </cell>
          <cell r="D14" t="str">
            <v>U207</v>
          </cell>
          <cell r="E14" t="str">
            <v>2000-1/2 Explorer Sport/Sport Trac (U/P207)</v>
          </cell>
          <cell r="F14">
            <v>36557</v>
          </cell>
          <cell r="G14">
            <v>84.519000000000005</v>
          </cell>
          <cell r="H14">
            <v>55.768999999999998</v>
          </cell>
          <cell r="I14">
            <v>1</v>
          </cell>
          <cell r="J14">
            <v>55.768999999999998</v>
          </cell>
          <cell r="K14">
            <v>27.126999999999999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11.83</v>
          </cell>
        </row>
        <row r="15">
          <cell r="C15" t="str">
            <v>00V02</v>
          </cell>
          <cell r="D15" t="str">
            <v>P207</v>
          </cell>
          <cell r="E15" t="str">
            <v>2000-1/2 Explorer Sport/Sport Trac (U/P207)</v>
          </cell>
          <cell r="F15">
            <v>36557</v>
          </cell>
          <cell r="G15">
            <v>353.85199999999998</v>
          </cell>
          <cell r="H15">
            <v>234.46199999999999</v>
          </cell>
          <cell r="I15">
            <v>1</v>
          </cell>
          <cell r="J15">
            <v>234.46199999999999</v>
          </cell>
          <cell r="K15">
            <v>106.72799999999999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21.616</v>
          </cell>
        </row>
        <row r="16">
          <cell r="C16" t="str">
            <v>00V20</v>
          </cell>
          <cell r="D16" t="str">
            <v>TAF-Tonneau Cover for P207</v>
          </cell>
          <cell r="E16" t="str">
            <v>2000-1/2 Explorer Sport/Sport Trac (U/P207)</v>
          </cell>
          <cell r="F16">
            <v>36556</v>
          </cell>
          <cell r="G16">
            <v>4.657</v>
          </cell>
          <cell r="H16">
            <v>4.657</v>
          </cell>
          <cell r="I16">
            <v>1</v>
          </cell>
          <cell r="J16">
            <v>4.657</v>
          </cell>
          <cell r="K16">
            <v>1.5229999999999999</v>
          </cell>
          <cell r="L16">
            <v>1.5669999999999999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1.5669999999999999</v>
          </cell>
        </row>
        <row r="17">
          <cell r="C17" t="str">
            <v>01I00</v>
          </cell>
          <cell r="D17" t="str">
            <v>Mustang Bullitt</v>
          </cell>
          <cell r="E17" t="str">
            <v>2001-1/2 Mustang</v>
          </cell>
          <cell r="F17">
            <v>36923</v>
          </cell>
          <cell r="G17">
            <v>2.3519999999999999</v>
          </cell>
          <cell r="H17">
            <v>1.4450000000000001</v>
          </cell>
          <cell r="I17">
            <v>1</v>
          </cell>
          <cell r="J17">
            <v>1.4450000000000001</v>
          </cell>
          <cell r="K17">
            <v>0.44500000000000001</v>
          </cell>
          <cell r="L17">
            <v>1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1</v>
          </cell>
        </row>
        <row r="18">
          <cell r="C18" t="str">
            <v>01I05</v>
          </cell>
          <cell r="D18" t="str">
            <v>01MY SN95 Craftsmanship</v>
          </cell>
          <cell r="E18" t="str">
            <v>2001-1/2 Mustang</v>
          </cell>
          <cell r="F18">
            <v>36923</v>
          </cell>
          <cell r="G18">
            <v>17.484999999999999</v>
          </cell>
          <cell r="H18">
            <v>10.670999999999999</v>
          </cell>
          <cell r="I18">
            <v>1</v>
          </cell>
          <cell r="J18">
            <v>10.670999999999999</v>
          </cell>
          <cell r="K18">
            <v>3.0739999999999998</v>
          </cell>
          <cell r="L18">
            <v>7.5970000000000004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7.5970000000000004</v>
          </cell>
        </row>
        <row r="19">
          <cell r="C19" t="str">
            <v>00X04</v>
          </cell>
          <cell r="D19" t="str">
            <v>P225</v>
          </cell>
          <cell r="E19" t="str">
            <v>2000-1/2 Super Crew (P225)</v>
          </cell>
          <cell r="F19">
            <v>36538</v>
          </cell>
          <cell r="G19">
            <v>294.37200000000001</v>
          </cell>
          <cell r="H19">
            <v>218.661</v>
          </cell>
          <cell r="I19">
            <v>1</v>
          </cell>
          <cell r="J19">
            <v>218.661</v>
          </cell>
          <cell r="K19">
            <v>37.445999999999998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</row>
        <row r="20">
          <cell r="C20" t="str">
            <v>01E01</v>
          </cell>
          <cell r="D20" t="str">
            <v>GM / CV Minor Freshening</v>
          </cell>
          <cell r="E20" t="str">
            <v>2001 Crown Victoria</v>
          </cell>
          <cell r="F20">
            <v>36739</v>
          </cell>
          <cell r="G20">
            <v>37.348999999999997</v>
          </cell>
          <cell r="H20">
            <v>14.473000000000001</v>
          </cell>
          <cell r="I20">
            <v>0.49</v>
          </cell>
          <cell r="J20">
            <v>7.0917699999999995</v>
          </cell>
          <cell r="K20">
            <v>3.5422099999999999</v>
          </cell>
          <cell r="L20">
            <v>3.1404099999999997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3.1404099999999997</v>
          </cell>
        </row>
        <row r="21">
          <cell r="C21" t="str">
            <v>00600</v>
          </cell>
          <cell r="D21" t="str">
            <v>U204 (INCL P/T)-FORD SHARE</v>
          </cell>
          <cell r="E21" t="str">
            <v>2001 Escape (U204)</v>
          </cell>
          <cell r="F21">
            <v>36689</v>
          </cell>
          <cell r="G21">
            <v>1164.414</v>
          </cell>
          <cell r="H21">
            <v>724.56899999999996</v>
          </cell>
          <cell r="I21">
            <v>0.8984996597977557</v>
          </cell>
          <cell r="J21">
            <v>651.02499999999998</v>
          </cell>
          <cell r="K21">
            <v>214.81900000000002</v>
          </cell>
          <cell r="L21">
            <v>18.628999999999998</v>
          </cell>
          <cell r="M21">
            <v>0</v>
          </cell>
          <cell r="N21">
            <v>0</v>
          </cell>
          <cell r="O21">
            <v>1E-3</v>
          </cell>
          <cell r="P21">
            <v>0</v>
          </cell>
          <cell r="Q21">
            <v>60.63</v>
          </cell>
        </row>
        <row r="22">
          <cell r="C22" t="str">
            <v>00602</v>
          </cell>
          <cell r="D22" t="str">
            <v>U204 (INCL P/T)- MAZDA SHARE</v>
          </cell>
          <cell r="E22" t="str">
            <v>2001 Escape (U204)</v>
          </cell>
          <cell r="F22">
            <v>36689</v>
          </cell>
          <cell r="G22">
            <v>277.05599999999998</v>
          </cell>
          <cell r="H22">
            <v>165.017</v>
          </cell>
          <cell r="I22">
            <v>0.29098214123393351</v>
          </cell>
          <cell r="J22">
            <v>48.017000000000003</v>
          </cell>
          <cell r="K22">
            <v>48.017000000000003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</row>
        <row r="23">
          <cell r="C23" t="str">
            <v>01500</v>
          </cell>
          <cell r="D23" t="str">
            <v>U152 MAJOR PROGRAM</v>
          </cell>
          <cell r="E23" t="str">
            <v>2001 Explorer (U152)</v>
          </cell>
          <cell r="F23">
            <v>36843</v>
          </cell>
          <cell r="G23">
            <v>1679.643</v>
          </cell>
          <cell r="H23">
            <v>1019.7569999999999</v>
          </cell>
          <cell r="I23">
            <v>0.83</v>
          </cell>
          <cell r="J23">
            <v>846.39831000000004</v>
          </cell>
          <cell r="K23">
            <v>498.17513000000008</v>
          </cell>
          <cell r="L23">
            <v>103.79399000000001</v>
          </cell>
          <cell r="M23">
            <v>4.7019499999999992</v>
          </cell>
          <cell r="N23">
            <v>9.462000000000001E-2</v>
          </cell>
          <cell r="O23">
            <v>4.7310000000000005E-2</v>
          </cell>
          <cell r="P23">
            <v>0</v>
          </cell>
          <cell r="Q23">
            <v>108.63787000000001</v>
          </cell>
        </row>
        <row r="24">
          <cell r="C24" t="str">
            <v>01501</v>
          </cell>
          <cell r="D24" t="str">
            <v>U152 ILVS/Best Practices</v>
          </cell>
          <cell r="E24" t="str">
            <v>2001 Explorer (U152)</v>
          </cell>
          <cell r="F24">
            <v>37073</v>
          </cell>
          <cell r="G24">
            <v>30.622</v>
          </cell>
          <cell r="H24">
            <v>27</v>
          </cell>
          <cell r="I24">
            <v>1</v>
          </cell>
          <cell r="J24">
            <v>27</v>
          </cell>
          <cell r="K24">
            <v>0</v>
          </cell>
          <cell r="N24">
            <v>0</v>
          </cell>
          <cell r="O24">
            <v>0</v>
          </cell>
          <cell r="P24">
            <v>0</v>
          </cell>
          <cell r="Q24">
            <v>27</v>
          </cell>
        </row>
        <row r="25">
          <cell r="C25" t="str">
            <v>01502</v>
          </cell>
          <cell r="D25" t="str">
            <v>U152 Capacity (CPV-II)</v>
          </cell>
          <cell r="E25" t="str">
            <v>2001 Explorer (U152)</v>
          </cell>
          <cell r="F25">
            <v>37043</v>
          </cell>
          <cell r="G25">
            <v>4</v>
          </cell>
          <cell r="H25">
            <v>4</v>
          </cell>
          <cell r="I25">
            <v>0.83</v>
          </cell>
          <cell r="J25">
            <v>3.32</v>
          </cell>
          <cell r="K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3.32</v>
          </cell>
        </row>
        <row r="26">
          <cell r="C26" t="str">
            <v>01503</v>
          </cell>
          <cell r="D26" t="str">
            <v>U152-bsd USPS-II</v>
          </cell>
          <cell r="E26" t="str">
            <v>2001 Explorer (U152)</v>
          </cell>
          <cell r="F26">
            <v>37073</v>
          </cell>
          <cell r="G26">
            <v>17.042999999999999</v>
          </cell>
          <cell r="H26">
            <v>5.0960000000000001</v>
          </cell>
          <cell r="I26">
            <v>1</v>
          </cell>
          <cell r="J26">
            <v>5.0960000000000001</v>
          </cell>
          <cell r="K26">
            <v>2.375</v>
          </cell>
          <cell r="L26">
            <v>2.7210000000000001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2.7210000000000001</v>
          </cell>
        </row>
        <row r="27">
          <cell r="C27" t="str">
            <v>01Z05</v>
          </cell>
          <cell r="D27" t="str">
            <v>(G)P131 into CUAP</v>
          </cell>
          <cell r="E27" t="str">
            <v>2001 F-Series O8500 at CUAP</v>
          </cell>
          <cell r="F27">
            <v>36739</v>
          </cell>
          <cell r="G27">
            <v>167.00700000000001</v>
          </cell>
          <cell r="H27">
            <v>137.92400000000001</v>
          </cell>
          <cell r="I27">
            <v>1</v>
          </cell>
          <cell r="J27">
            <v>137.92399999999998</v>
          </cell>
          <cell r="K27">
            <v>46.695</v>
          </cell>
          <cell r="L27">
            <v>12.48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14.48</v>
          </cell>
        </row>
        <row r="28">
          <cell r="C28" t="str">
            <v>01V01</v>
          </cell>
          <cell r="D28" t="str">
            <v>PN150/151 MINOR-FORD SHARE</v>
          </cell>
          <cell r="E28" t="str">
            <v>2001 Ranger (P150)</v>
          </cell>
          <cell r="F28">
            <v>36739</v>
          </cell>
          <cell r="G28">
            <v>166.922</v>
          </cell>
          <cell r="H28">
            <v>78.090999999999994</v>
          </cell>
          <cell r="I28">
            <v>1</v>
          </cell>
          <cell r="J28">
            <v>78.091000000000008</v>
          </cell>
          <cell r="K28">
            <v>48.31900000000001</v>
          </cell>
          <cell r="L28">
            <v>15.047000000000001</v>
          </cell>
          <cell r="M28">
            <v>2.9999999999999996E-3</v>
          </cell>
          <cell r="N28">
            <v>2.9999999999999996E-3</v>
          </cell>
          <cell r="O28">
            <v>2E-3</v>
          </cell>
          <cell r="P28">
            <v>0</v>
          </cell>
          <cell r="Q28">
            <v>27.055</v>
          </cell>
        </row>
        <row r="29">
          <cell r="C29" t="str">
            <v>01V02</v>
          </cell>
          <cell r="D29" t="str">
            <v>PN150/151 MINOR-MAZDA SHARE</v>
          </cell>
          <cell r="E29" t="str">
            <v>2001 Ranger (P150)</v>
          </cell>
          <cell r="F29">
            <v>36739</v>
          </cell>
          <cell r="G29">
            <v>16.66</v>
          </cell>
          <cell r="H29">
            <v>14.494999999999999</v>
          </cell>
          <cell r="I29">
            <v>0.28699551569506732</v>
          </cell>
          <cell r="J29">
            <v>4.16</v>
          </cell>
          <cell r="K29">
            <v>3.5139999999999998</v>
          </cell>
          <cell r="L29">
            <v>0.13400000000000001</v>
          </cell>
          <cell r="M29">
            <v>0.13400000000000001</v>
          </cell>
          <cell r="N29">
            <v>0.13400000000000001</v>
          </cell>
          <cell r="O29">
            <v>6.7000000000000004E-2</v>
          </cell>
          <cell r="P29">
            <v>0</v>
          </cell>
          <cell r="Q29">
            <v>0.46900000000000003</v>
          </cell>
        </row>
        <row r="30">
          <cell r="C30" t="str">
            <v>01V20</v>
          </cell>
          <cell r="D30" t="str">
            <v>01MY Ranger Genuine 4x4</v>
          </cell>
          <cell r="E30" t="str">
            <v>2001 Ranger (P150)</v>
          </cell>
          <cell r="F30">
            <v>37011</v>
          </cell>
          <cell r="G30">
            <v>3.851</v>
          </cell>
          <cell r="H30">
            <v>2.907</v>
          </cell>
          <cell r="I30">
            <v>1</v>
          </cell>
          <cell r="J30">
            <v>2.907</v>
          </cell>
          <cell r="K30">
            <v>0.14000000000000001</v>
          </cell>
          <cell r="L30">
            <v>2.7669999999999999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2.7669999999999999</v>
          </cell>
        </row>
        <row r="31">
          <cell r="C31" t="str">
            <v>01V90</v>
          </cell>
          <cell r="D31" t="str">
            <v>Capstone Qual - Ranger</v>
          </cell>
          <cell r="E31" t="str">
            <v>2001 Ranger (P150)</v>
          </cell>
          <cell r="F31">
            <v>37073</v>
          </cell>
          <cell r="G31">
            <v>8.98</v>
          </cell>
          <cell r="H31">
            <v>8.1460000000000008</v>
          </cell>
          <cell r="I31">
            <v>1</v>
          </cell>
          <cell r="J31">
            <v>8.1460000000000008</v>
          </cell>
          <cell r="K31">
            <v>1.1839999999999999</v>
          </cell>
          <cell r="L31">
            <v>6.819</v>
          </cell>
          <cell r="M31">
            <v>0.14299999999999999</v>
          </cell>
          <cell r="N31">
            <v>0</v>
          </cell>
          <cell r="O31">
            <v>0</v>
          </cell>
          <cell r="P31">
            <v>0</v>
          </cell>
          <cell r="Q31">
            <v>6.9619999999999997</v>
          </cell>
        </row>
        <row r="32">
          <cell r="C32" t="str">
            <v>01T00</v>
          </cell>
          <cell r="D32" t="str">
            <v>WIN126 FRESHENING</v>
          </cell>
          <cell r="E32" t="str">
            <v>2001 Windstar Freshening</v>
          </cell>
          <cell r="F32">
            <v>36739</v>
          </cell>
          <cell r="G32">
            <v>122.664</v>
          </cell>
          <cell r="H32">
            <v>49.595999999999997</v>
          </cell>
          <cell r="I32">
            <v>1</v>
          </cell>
          <cell r="J32">
            <v>49.596000000000004</v>
          </cell>
          <cell r="K32">
            <v>42.259</v>
          </cell>
          <cell r="L32">
            <v>3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6.8689999999999998</v>
          </cell>
        </row>
        <row r="33">
          <cell r="C33" t="str">
            <v>01T05</v>
          </cell>
          <cell r="D33" t="str">
            <v>2001 Windstar Limited</v>
          </cell>
          <cell r="E33" t="str">
            <v>2001 Windstar Freshening</v>
          </cell>
          <cell r="F33">
            <v>36774</v>
          </cell>
          <cell r="G33">
            <v>3.2719999999999998</v>
          </cell>
          <cell r="H33">
            <v>3.0640000000000001</v>
          </cell>
          <cell r="I33">
            <v>1</v>
          </cell>
          <cell r="J33">
            <v>3.0640000000000001</v>
          </cell>
          <cell r="K33">
            <v>0.32400000000000001</v>
          </cell>
          <cell r="L33">
            <v>2.74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2.74</v>
          </cell>
        </row>
        <row r="34">
          <cell r="C34" t="str">
            <v>01300</v>
          </cell>
          <cell r="D34" t="str">
            <v>C195 - Mexico (Export)</v>
          </cell>
          <cell r="E34" t="str">
            <v>2001-1/2 C-Value (C195)</v>
          </cell>
          <cell r="F34">
            <v>36892</v>
          </cell>
          <cell r="G34">
            <v>45.741999999999997</v>
          </cell>
          <cell r="H34">
            <v>24.811</v>
          </cell>
          <cell r="I34">
            <v>1</v>
          </cell>
          <cell r="J34">
            <v>24.811</v>
          </cell>
          <cell r="K34">
            <v>8.7089999999999996</v>
          </cell>
          <cell r="L34">
            <v>13.603999999999999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13.603999999999999</v>
          </cell>
        </row>
        <row r="35">
          <cell r="C35" t="str">
            <v>01G01</v>
          </cell>
          <cell r="D35" t="str">
            <v>M205</v>
          </cell>
          <cell r="E35" t="str">
            <v>2001-1/2 Thunderbird (M205)</v>
          </cell>
          <cell r="F35">
            <v>37012</v>
          </cell>
          <cell r="G35">
            <v>243.78</v>
          </cell>
          <cell r="H35">
            <v>134.333</v>
          </cell>
          <cell r="I35">
            <v>1</v>
          </cell>
          <cell r="J35">
            <v>134.333</v>
          </cell>
          <cell r="K35">
            <v>47.539000000000001</v>
          </cell>
          <cell r="L35">
            <v>82.869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82.869</v>
          </cell>
        </row>
        <row r="36">
          <cell r="C36" t="str">
            <v>01G02</v>
          </cell>
          <cell r="D36" t="str">
            <v>M205-TAF Removable Top</v>
          </cell>
          <cell r="E36" t="str">
            <v>2001-1/2 Thunderbird (M205)</v>
          </cell>
          <cell r="F36">
            <v>37032</v>
          </cell>
          <cell r="G36">
            <v>4.5999999999999996</v>
          </cell>
          <cell r="H36">
            <v>4.5999999999999996</v>
          </cell>
          <cell r="I36">
            <v>1</v>
          </cell>
          <cell r="J36">
            <v>4.5999999999999996</v>
          </cell>
          <cell r="K36">
            <v>0</v>
          </cell>
          <cell r="L36">
            <v>4.5999999999999996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4.5999999999999996</v>
          </cell>
        </row>
        <row r="37">
          <cell r="C37" t="str">
            <v>01G90</v>
          </cell>
          <cell r="D37" t="str">
            <v>Capstone Qual - M205</v>
          </cell>
          <cell r="E37" t="str">
            <v>2001-1/2 Thunderbird (M205)</v>
          </cell>
          <cell r="F37">
            <v>37073</v>
          </cell>
          <cell r="G37">
            <v>0.57499999999999996</v>
          </cell>
          <cell r="H37">
            <v>0.57499999999999996</v>
          </cell>
          <cell r="I37">
            <v>1</v>
          </cell>
          <cell r="J37">
            <v>0.57499999999999996</v>
          </cell>
          <cell r="K37">
            <v>0</v>
          </cell>
          <cell r="L37">
            <v>0.57499999999999996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0.57499999999999996</v>
          </cell>
        </row>
        <row r="38">
          <cell r="C38" t="str">
            <v>01Q10</v>
          </cell>
          <cell r="D38" t="str">
            <v>M205 U/B Sub-Assembly</v>
          </cell>
          <cell r="E38" t="str">
            <v>2001-1/2 Thunderbird (M205)</v>
          </cell>
          <cell r="F38">
            <v>36951</v>
          </cell>
          <cell r="G38">
            <v>5.6909999999999998</v>
          </cell>
          <cell r="H38">
            <v>5.2910000000000004</v>
          </cell>
          <cell r="I38">
            <v>1</v>
          </cell>
          <cell r="J38">
            <v>5.2910000000000004</v>
          </cell>
          <cell r="K38">
            <v>0.66</v>
          </cell>
          <cell r="L38">
            <v>4.6310000000000002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4.6310000000000002</v>
          </cell>
        </row>
        <row r="39">
          <cell r="C39" t="str">
            <v>02E05</v>
          </cell>
          <cell r="D39" t="str">
            <v>EN114 LWB</v>
          </cell>
          <cell r="E39" t="str">
            <v>2002 Crown Victoria LWB</v>
          </cell>
          <cell r="F39">
            <v>37104</v>
          </cell>
          <cell r="G39">
            <v>51.536999999999999</v>
          </cell>
          <cell r="H39">
            <v>34.637999999999998</v>
          </cell>
          <cell r="I39">
            <v>1</v>
          </cell>
          <cell r="J39">
            <v>34.637999999999998</v>
          </cell>
          <cell r="K39">
            <v>5.2969999999999997</v>
          </cell>
          <cell r="L39">
            <v>28.766999999999999</v>
          </cell>
          <cell r="M39">
            <v>0.57399999999999995</v>
          </cell>
          <cell r="N39">
            <v>0</v>
          </cell>
          <cell r="O39">
            <v>0</v>
          </cell>
          <cell r="P39">
            <v>0</v>
          </cell>
          <cell r="Q39">
            <v>29.341000000000001</v>
          </cell>
        </row>
        <row r="40">
          <cell r="C40" t="str">
            <v>01L90</v>
          </cell>
          <cell r="D40" t="str">
            <v>Capstone Qual - NA C170</v>
          </cell>
          <cell r="E40" t="str">
            <v>2002 Focus (C170)</v>
          </cell>
          <cell r="F40">
            <v>37073</v>
          </cell>
          <cell r="G40">
            <v>2.75</v>
          </cell>
          <cell r="H40">
            <v>2.75</v>
          </cell>
          <cell r="I40">
            <v>1</v>
          </cell>
          <cell r="J40">
            <v>2.75</v>
          </cell>
          <cell r="K40">
            <v>0</v>
          </cell>
          <cell r="L40">
            <v>0.871</v>
          </cell>
          <cell r="M40">
            <v>0.55000000000000004</v>
          </cell>
          <cell r="N40">
            <v>0.55000000000000004</v>
          </cell>
          <cell r="O40">
            <v>0.55000000000000004</v>
          </cell>
          <cell r="P40">
            <v>0.22900000000000001</v>
          </cell>
          <cell r="Q40">
            <v>2.75</v>
          </cell>
        </row>
        <row r="41">
          <cell r="C41" t="str">
            <v>02L03</v>
          </cell>
          <cell r="D41" t="str">
            <v>C170 In-Cycle Actions</v>
          </cell>
          <cell r="E41" t="str">
            <v>2002 Focus (C170)</v>
          </cell>
          <cell r="F41">
            <v>37104</v>
          </cell>
          <cell r="G41">
            <v>13.167999999999999</v>
          </cell>
          <cell r="H41">
            <v>10.507</v>
          </cell>
          <cell r="I41">
            <v>1</v>
          </cell>
          <cell r="J41">
            <v>10.507</v>
          </cell>
          <cell r="K41">
            <v>4.5999999999999999E-2</v>
          </cell>
          <cell r="L41">
            <v>7.8959999999999999</v>
          </cell>
          <cell r="M41">
            <v>2.5649999999999999</v>
          </cell>
          <cell r="N41">
            <v>0</v>
          </cell>
          <cell r="O41">
            <v>0</v>
          </cell>
          <cell r="P41">
            <v>0</v>
          </cell>
          <cell r="Q41">
            <v>10.461</v>
          </cell>
        </row>
        <row r="42">
          <cell r="C42" t="str">
            <v>02L04</v>
          </cell>
          <cell r="D42" t="str">
            <v>C170(NA) 5 Door at HSAP</v>
          </cell>
          <cell r="E42" t="str">
            <v>2002 Focus (C170)</v>
          </cell>
          <cell r="F42">
            <v>37104</v>
          </cell>
          <cell r="G42">
            <v>25.253</v>
          </cell>
          <cell r="H42">
            <v>14.095000000000001</v>
          </cell>
          <cell r="I42">
            <v>1</v>
          </cell>
          <cell r="J42">
            <v>14.095000000000001</v>
          </cell>
          <cell r="K42">
            <v>1.377</v>
          </cell>
          <cell r="L42">
            <v>11.298999999999999</v>
          </cell>
          <cell r="M42">
            <v>1.419</v>
          </cell>
          <cell r="N42">
            <v>0</v>
          </cell>
          <cell r="O42">
            <v>0</v>
          </cell>
          <cell r="P42">
            <v>0</v>
          </cell>
          <cell r="Q42">
            <v>12.718</v>
          </cell>
        </row>
        <row r="43">
          <cell r="C43" t="str">
            <v>02Z10</v>
          </cell>
          <cell r="D43" t="str">
            <v>2002 P131/U137 C.S.E.P</v>
          </cell>
          <cell r="E43" t="str">
            <v>2002 F-Series O8500/Excursion Customer Sat.</v>
          </cell>
          <cell r="F43">
            <v>37104</v>
          </cell>
          <cell r="G43">
            <v>55.938000000000002</v>
          </cell>
          <cell r="H43">
            <v>33.08</v>
          </cell>
          <cell r="I43">
            <v>1</v>
          </cell>
          <cell r="J43">
            <v>33.08</v>
          </cell>
          <cell r="K43">
            <v>1.4159999999999999</v>
          </cell>
          <cell r="L43">
            <v>16.798999999999999</v>
          </cell>
          <cell r="M43">
            <v>1.8650000000000002</v>
          </cell>
          <cell r="N43">
            <v>0</v>
          </cell>
          <cell r="O43">
            <v>0</v>
          </cell>
          <cell r="P43">
            <v>0</v>
          </cell>
          <cell r="Q43">
            <v>31.664000000000001</v>
          </cell>
        </row>
        <row r="44">
          <cell r="C44" t="str">
            <v>02Z05</v>
          </cell>
          <cell r="D44" t="str">
            <v>H215  Top Gun II</v>
          </cell>
          <cell r="E44" t="str">
            <v>2002 H215</v>
          </cell>
          <cell r="F44">
            <v>37104</v>
          </cell>
          <cell r="G44">
            <v>19.483000000000001</v>
          </cell>
          <cell r="H44">
            <v>11.371</v>
          </cell>
          <cell r="I44">
            <v>1</v>
          </cell>
          <cell r="J44">
            <v>11.371</v>
          </cell>
          <cell r="K44">
            <v>0.128</v>
          </cell>
          <cell r="L44">
            <v>11.241</v>
          </cell>
          <cell r="M44">
            <v>2E-3</v>
          </cell>
          <cell r="N44">
            <v>0</v>
          </cell>
          <cell r="O44">
            <v>0</v>
          </cell>
          <cell r="P44">
            <v>0</v>
          </cell>
          <cell r="Q44">
            <v>11.243</v>
          </cell>
        </row>
        <row r="45">
          <cell r="C45" t="str">
            <v>02Z06</v>
          </cell>
          <cell r="D45" t="str">
            <v>H215 Blue Bird Bus Program</v>
          </cell>
          <cell r="E45" t="str">
            <v>2002 H215</v>
          </cell>
          <cell r="F45">
            <v>37165</v>
          </cell>
          <cell r="G45">
            <v>10.000999999999999</v>
          </cell>
          <cell r="H45">
            <v>7</v>
          </cell>
          <cell r="I45">
            <v>1</v>
          </cell>
          <cell r="J45">
            <v>7</v>
          </cell>
          <cell r="K45">
            <v>0</v>
          </cell>
          <cell r="L45">
            <v>6.4050000000000002</v>
          </cell>
          <cell r="M45">
            <v>0.59499999999999997</v>
          </cell>
          <cell r="N45">
            <v>0</v>
          </cell>
          <cell r="O45">
            <v>0</v>
          </cell>
          <cell r="P45">
            <v>0</v>
          </cell>
          <cell r="Q45">
            <v>7</v>
          </cell>
        </row>
        <row r="46">
          <cell r="C46" t="str">
            <v>01S03</v>
          </cell>
          <cell r="D46" t="str">
            <v>CD132 CKD for Mexico (CuAP)</v>
          </cell>
          <cell r="E46" t="str">
            <v>2002 Mondeo for Mexico</v>
          </cell>
          <cell r="F46">
            <v>37135</v>
          </cell>
          <cell r="G46">
            <v>28.257999999999999</v>
          </cell>
          <cell r="H46">
            <v>26.128</v>
          </cell>
          <cell r="I46">
            <v>0.77173913043478271</v>
          </cell>
          <cell r="J46">
            <v>20.164000000000001</v>
          </cell>
          <cell r="K46">
            <v>3.0880000000000001</v>
          </cell>
          <cell r="L46">
            <v>17.076000000000001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17.076000000000001</v>
          </cell>
        </row>
        <row r="47">
          <cell r="C47" t="str">
            <v>02501</v>
          </cell>
          <cell r="D47" t="str">
            <v>U152 Minor Fresh-Safety Upg</v>
          </cell>
          <cell r="E47" t="str">
            <v>2002 U152 Safety Upgrade</v>
          </cell>
          <cell r="F47">
            <v>37193</v>
          </cell>
          <cell r="G47">
            <v>43.664999999999999</v>
          </cell>
          <cell r="H47">
            <v>27.055</v>
          </cell>
          <cell r="I47">
            <v>0.85</v>
          </cell>
          <cell r="J47">
            <v>22.996749999999999</v>
          </cell>
          <cell r="K47">
            <v>2.2100000000000002E-2</v>
          </cell>
          <cell r="L47">
            <v>13.762</v>
          </cell>
          <cell r="M47">
            <v>5</v>
          </cell>
          <cell r="N47">
            <v>0</v>
          </cell>
          <cell r="O47">
            <v>0</v>
          </cell>
          <cell r="P47">
            <v>0</v>
          </cell>
          <cell r="Q47">
            <v>22.97465</v>
          </cell>
        </row>
        <row r="48">
          <cell r="C48" t="str">
            <v>02E01</v>
          </cell>
          <cell r="D48" t="str">
            <v>CV/GM Minor Freshening</v>
          </cell>
          <cell r="E48" t="str">
            <v>2002-1/2 Crown Victoria Freshening</v>
          </cell>
          <cell r="F48">
            <v>37288</v>
          </cell>
          <cell r="G48">
            <v>161.98699999999999</v>
          </cell>
          <cell r="H48">
            <v>100.13200000000001</v>
          </cell>
          <cell r="I48">
            <v>0.47982283385930569</v>
          </cell>
          <cell r="J48">
            <v>48.04562</v>
          </cell>
          <cell r="K48">
            <v>0.44180000000000003</v>
          </cell>
          <cell r="L48">
            <v>23.50611</v>
          </cell>
          <cell r="M48">
            <v>23.160340000000001</v>
          </cell>
          <cell r="N48">
            <v>0.93737000000000004</v>
          </cell>
          <cell r="O48">
            <v>0</v>
          </cell>
          <cell r="P48">
            <v>0</v>
          </cell>
          <cell r="Q48">
            <v>47.603819999999999</v>
          </cell>
        </row>
        <row r="49">
          <cell r="C49" t="str">
            <v>02W02</v>
          </cell>
          <cell r="D49" t="str">
            <v>E-Series E550 (BLI-II)</v>
          </cell>
          <cell r="E49" t="str">
            <v>2002-1/2 E550 &amp; 2003 E-Series</v>
          </cell>
          <cell r="F49">
            <v>37288</v>
          </cell>
          <cell r="G49">
            <v>86.909000000000006</v>
          </cell>
          <cell r="H49">
            <v>56.055999999999997</v>
          </cell>
          <cell r="I49">
            <v>1</v>
          </cell>
          <cell r="J49">
            <v>56.056000000000004</v>
          </cell>
          <cell r="K49">
            <v>7.0659999999999998</v>
          </cell>
          <cell r="L49">
            <v>29.329000000000001</v>
          </cell>
          <cell r="M49">
            <v>19.66</v>
          </cell>
          <cell r="N49">
            <v>1E-3</v>
          </cell>
          <cell r="O49">
            <v>0</v>
          </cell>
          <cell r="P49">
            <v>0</v>
          </cell>
          <cell r="Q49">
            <v>48.99</v>
          </cell>
        </row>
        <row r="50">
          <cell r="C50" t="str">
            <v>03W04</v>
          </cell>
          <cell r="D50" t="str">
            <v>E-Series Recovery Actions</v>
          </cell>
          <cell r="E50" t="str">
            <v>2002-1/2 E550 &amp; 2003 E-Series</v>
          </cell>
          <cell r="F50">
            <v>37469</v>
          </cell>
          <cell r="G50">
            <v>74</v>
          </cell>
          <cell r="H50">
            <v>45</v>
          </cell>
          <cell r="I50">
            <v>1</v>
          </cell>
          <cell r="J50">
            <v>45</v>
          </cell>
          <cell r="K50">
            <v>0</v>
          </cell>
          <cell r="L50">
            <v>5</v>
          </cell>
          <cell r="M50">
            <v>34</v>
          </cell>
          <cell r="N50">
            <v>6</v>
          </cell>
          <cell r="O50">
            <v>0</v>
          </cell>
          <cell r="P50">
            <v>0</v>
          </cell>
          <cell r="Q50">
            <v>23.76</v>
          </cell>
        </row>
        <row r="51">
          <cell r="C51" t="str">
            <v>02U00</v>
          </cell>
          <cell r="D51" t="str">
            <v>U222/U228</v>
          </cell>
          <cell r="E51" t="str">
            <v>2002-1/2 Expedition (U222)</v>
          </cell>
          <cell r="F51">
            <v>37268</v>
          </cell>
          <cell r="G51">
            <v>1108.8309999999999</v>
          </cell>
          <cell r="H51">
            <v>684.41700000000003</v>
          </cell>
          <cell r="I51">
            <v>0.74</v>
          </cell>
          <cell r="J51">
            <v>506.46857999999997</v>
          </cell>
          <cell r="K51">
            <v>101.36224</v>
          </cell>
          <cell r="L51">
            <v>236.7457</v>
          </cell>
          <cell r="M51">
            <v>160.69319999999999</v>
          </cell>
          <cell r="N51">
            <v>0</v>
          </cell>
          <cell r="O51">
            <v>0</v>
          </cell>
          <cell r="P51">
            <v>0</v>
          </cell>
          <cell r="Q51">
            <v>401.43889999999999</v>
          </cell>
        </row>
        <row r="52">
          <cell r="C52" t="str">
            <v>02U01</v>
          </cell>
          <cell r="D52" t="str">
            <v>U222/U228 Capstone Qual Action</v>
          </cell>
          <cell r="E52" t="str">
            <v>2002-1/2 Expedition (U222)</v>
          </cell>
          <cell r="F52">
            <v>37268</v>
          </cell>
          <cell r="G52">
            <v>5.5</v>
          </cell>
          <cell r="H52">
            <v>5.5</v>
          </cell>
          <cell r="I52">
            <v>0.74</v>
          </cell>
          <cell r="J52">
            <v>4.07</v>
          </cell>
          <cell r="K52">
            <v>0</v>
          </cell>
          <cell r="L52">
            <v>3.0332600000000003</v>
          </cell>
          <cell r="M52">
            <v>1.03674</v>
          </cell>
          <cell r="N52">
            <v>0</v>
          </cell>
          <cell r="O52">
            <v>0</v>
          </cell>
          <cell r="P52">
            <v>0</v>
          </cell>
          <cell r="Q52">
            <v>4.07</v>
          </cell>
        </row>
        <row r="53">
          <cell r="C53" t="str">
            <v>02Z13</v>
          </cell>
          <cell r="D53" t="str">
            <v>2002 P131 F450 Pick-Up Box</v>
          </cell>
          <cell r="E53" t="str">
            <v>2002-1/2 F-Series O8500 Pick-up Box</v>
          </cell>
          <cell r="F53">
            <v>37319</v>
          </cell>
          <cell r="G53">
            <v>11.827</v>
          </cell>
          <cell r="H53">
            <v>10.227</v>
          </cell>
          <cell r="I53">
            <v>1</v>
          </cell>
          <cell r="J53">
            <v>10.227</v>
          </cell>
          <cell r="K53">
            <v>0</v>
          </cell>
          <cell r="L53">
            <v>3.8119999999999998</v>
          </cell>
          <cell r="M53">
            <v>6.415</v>
          </cell>
          <cell r="N53">
            <v>0</v>
          </cell>
          <cell r="O53">
            <v>0</v>
          </cell>
          <cell r="P53">
            <v>0</v>
          </cell>
          <cell r="Q53">
            <v>10.227</v>
          </cell>
        </row>
        <row r="54">
          <cell r="C54" t="str">
            <v>02510</v>
          </cell>
          <cell r="D54" t="str">
            <v>U231 Lincoln SUV</v>
          </cell>
          <cell r="E54" t="str">
            <v>2002-1/2 Lincoln SUV (U231)</v>
          </cell>
          <cell r="F54">
            <v>37382</v>
          </cell>
          <cell r="G54">
            <v>382.53300000000002</v>
          </cell>
          <cell r="H54">
            <v>233.50899999999999</v>
          </cell>
          <cell r="I54">
            <v>0.15200000000000002</v>
          </cell>
          <cell r="J54">
            <v>35.493368000000004</v>
          </cell>
          <cell r="K54">
            <v>1.9288799999999999</v>
          </cell>
          <cell r="L54">
            <v>11.495912000000001</v>
          </cell>
          <cell r="M54">
            <v>21.625496000000002</v>
          </cell>
          <cell r="N54">
            <v>0.40082400000000001</v>
          </cell>
          <cell r="O54">
            <v>2.4167999999999999E-2</v>
          </cell>
          <cell r="P54">
            <v>0</v>
          </cell>
          <cell r="Q54">
            <v>33.546399999999998</v>
          </cell>
        </row>
        <row r="55">
          <cell r="C55" t="str">
            <v>03X03</v>
          </cell>
          <cell r="D55" t="str">
            <v>PN96/102 Regulatory Fresh</v>
          </cell>
          <cell r="E55" t="str">
            <v>2002-1/2 PN96/102/UN96/173 Reg. Freshening</v>
          </cell>
          <cell r="F55">
            <v>37258</v>
          </cell>
          <cell r="G55">
            <v>34.837000000000003</v>
          </cell>
          <cell r="H55">
            <v>19.646999999999998</v>
          </cell>
          <cell r="I55">
            <v>1</v>
          </cell>
          <cell r="J55">
            <v>19.646999999999998</v>
          </cell>
          <cell r="K55">
            <v>0.161</v>
          </cell>
          <cell r="L55">
            <v>10.595000000000001</v>
          </cell>
          <cell r="M55">
            <v>8.8420000000000005</v>
          </cell>
          <cell r="N55">
            <v>4.9000000000000002E-2</v>
          </cell>
          <cell r="O55">
            <v>0</v>
          </cell>
          <cell r="P55">
            <v>0</v>
          </cell>
          <cell r="Q55">
            <v>19.486000000000001</v>
          </cell>
        </row>
        <row r="56">
          <cell r="C56" t="str">
            <v>03V10</v>
          </cell>
          <cell r="D56" t="str">
            <v>P150 Regulatory Fresh-Classic</v>
          </cell>
          <cell r="E56" t="str">
            <v>2003 "Classic" Ranger</v>
          </cell>
          <cell r="F56">
            <v>37591</v>
          </cell>
          <cell r="G56">
            <v>57</v>
          </cell>
          <cell r="H56">
            <v>42</v>
          </cell>
          <cell r="I56">
            <v>1</v>
          </cell>
          <cell r="J56">
            <v>42</v>
          </cell>
          <cell r="K56">
            <v>0</v>
          </cell>
          <cell r="L56">
            <v>1.337</v>
          </cell>
          <cell r="M56">
            <v>25.202000000000002</v>
          </cell>
          <cell r="N56">
            <v>15.397</v>
          </cell>
          <cell r="O56">
            <v>6.4000000000000001E-2</v>
          </cell>
          <cell r="P56">
            <v>0</v>
          </cell>
          <cell r="Q56">
            <v>42</v>
          </cell>
        </row>
        <row r="57">
          <cell r="C57" t="str">
            <v>03W03</v>
          </cell>
          <cell r="D57" t="str">
            <v>V127 Regulatory Program</v>
          </cell>
          <cell r="E57" t="str">
            <v>2003 E-Series Regulatory Program</v>
          </cell>
          <cell r="F57">
            <v>37469</v>
          </cell>
          <cell r="G57">
            <v>18</v>
          </cell>
          <cell r="H57">
            <v>10.1</v>
          </cell>
          <cell r="I57">
            <v>1</v>
          </cell>
          <cell r="J57">
            <v>10.1</v>
          </cell>
          <cell r="K57">
            <v>2E-3</v>
          </cell>
          <cell r="L57">
            <v>1.054</v>
          </cell>
          <cell r="M57">
            <v>7.7140000000000004</v>
          </cell>
          <cell r="N57">
            <v>1.33</v>
          </cell>
          <cell r="O57">
            <v>0</v>
          </cell>
          <cell r="P57">
            <v>0</v>
          </cell>
          <cell r="Q57">
            <v>10.098000000000001</v>
          </cell>
        </row>
        <row r="58">
          <cell r="C58" t="str">
            <v>03W03</v>
          </cell>
          <cell r="D58" t="str">
            <v>Added stuff per E-tracker</v>
          </cell>
          <cell r="E58" t="str">
            <v>2003 E-Series Regulatory Program</v>
          </cell>
          <cell r="F58">
            <v>37469</v>
          </cell>
          <cell r="G58">
            <v>50</v>
          </cell>
          <cell r="H58">
            <v>32</v>
          </cell>
          <cell r="I58">
            <v>1</v>
          </cell>
          <cell r="J58">
            <v>32</v>
          </cell>
          <cell r="K58">
            <v>2E-3</v>
          </cell>
          <cell r="L58">
            <v>2</v>
          </cell>
          <cell r="M58">
            <v>12</v>
          </cell>
          <cell r="N58">
            <v>16</v>
          </cell>
          <cell r="O58">
            <v>2</v>
          </cell>
          <cell r="P58">
            <v>0</v>
          </cell>
          <cell r="Q58">
            <v>10.098000000000001</v>
          </cell>
        </row>
        <row r="59">
          <cell r="C59" t="str">
            <v>03P20</v>
          </cell>
          <cell r="D59" t="str">
            <v>U204 2.0L RF DI T Diesel</v>
          </cell>
          <cell r="E59" t="str">
            <v>2003 Escape Diesel (U204)</v>
          </cell>
          <cell r="F59">
            <v>37561</v>
          </cell>
          <cell r="G59">
            <v>40</v>
          </cell>
          <cell r="H59">
            <v>14</v>
          </cell>
          <cell r="I59">
            <v>1</v>
          </cell>
          <cell r="J59">
            <v>14</v>
          </cell>
          <cell r="K59">
            <v>0</v>
          </cell>
          <cell r="L59">
            <v>2</v>
          </cell>
          <cell r="M59">
            <v>5</v>
          </cell>
          <cell r="N59">
            <v>2</v>
          </cell>
          <cell r="P59">
            <v>0</v>
          </cell>
          <cell r="Q59">
            <v>14</v>
          </cell>
        </row>
        <row r="60">
          <cell r="C60" t="str">
            <v>03511</v>
          </cell>
          <cell r="D60" t="str">
            <v>U/P207</v>
          </cell>
          <cell r="E60" t="str">
            <v>2003 Explorer Sport/Sport Trac (U/P207)</v>
          </cell>
          <cell r="F60">
            <v>37469</v>
          </cell>
          <cell r="G60">
            <v>98.822999999999993</v>
          </cell>
          <cell r="H60">
            <v>57.110999999999997</v>
          </cell>
          <cell r="I60">
            <v>1</v>
          </cell>
          <cell r="J60">
            <v>57.111000000000004</v>
          </cell>
          <cell r="K60">
            <v>2.4E-2</v>
          </cell>
          <cell r="L60">
            <v>10.093999999999999</v>
          </cell>
          <cell r="M60">
            <v>41.112000000000002</v>
          </cell>
          <cell r="N60">
            <v>5.8769999999999998</v>
          </cell>
          <cell r="O60">
            <v>4.0000000000000001E-3</v>
          </cell>
          <cell r="P60">
            <v>0</v>
          </cell>
          <cell r="Q60">
            <v>57.086999999999996</v>
          </cell>
        </row>
        <row r="61">
          <cell r="C61" t="str">
            <v>03X06</v>
          </cell>
          <cell r="D61" t="str">
            <v>P131 Safety Actions</v>
          </cell>
          <cell r="E61" t="str">
            <v>2003 F-Series O8500/Excursion Minor Fresh.</v>
          </cell>
          <cell r="F61">
            <v>37438</v>
          </cell>
          <cell r="G61">
            <v>35</v>
          </cell>
          <cell r="H61">
            <v>20</v>
          </cell>
          <cell r="I61">
            <v>1</v>
          </cell>
          <cell r="J61">
            <v>20</v>
          </cell>
          <cell r="K61">
            <v>0.05</v>
          </cell>
          <cell r="L61">
            <v>2.9209999999999998</v>
          </cell>
          <cell r="M61">
            <v>14.885</v>
          </cell>
          <cell r="N61">
            <v>2.1440000000000001</v>
          </cell>
          <cell r="O61">
            <v>0</v>
          </cell>
          <cell r="P61">
            <v>0</v>
          </cell>
          <cell r="Q61">
            <v>19.95</v>
          </cell>
        </row>
        <row r="62">
          <cell r="C62" t="str">
            <v>03Z01</v>
          </cell>
          <cell r="D62" t="str">
            <v>PN131/U137 Minor Freshening</v>
          </cell>
          <cell r="E62" t="str">
            <v>2003 F-Series O8500/Excursion Minor Fresh.</v>
          </cell>
          <cell r="F62">
            <v>37469</v>
          </cell>
          <cell r="G62">
            <v>103.295</v>
          </cell>
          <cell r="H62">
            <v>63.198999999999998</v>
          </cell>
          <cell r="I62">
            <v>1</v>
          </cell>
          <cell r="J62">
            <v>63.199000000000005</v>
          </cell>
          <cell r="K62">
            <v>2.6000000000000002E-2</v>
          </cell>
          <cell r="L62">
            <v>11.494999999999999</v>
          </cell>
          <cell r="M62">
            <v>44.704000000000008</v>
          </cell>
          <cell r="N62">
            <v>6.9740000000000002</v>
          </cell>
          <cell r="O62">
            <v>0</v>
          </cell>
          <cell r="P62">
            <v>0</v>
          </cell>
          <cell r="Q62">
            <v>63.173000000000009</v>
          </cell>
        </row>
        <row r="63">
          <cell r="C63" t="str">
            <v>03V03</v>
          </cell>
          <cell r="D63" t="str">
            <v>PN150 Minor Fresh</v>
          </cell>
          <cell r="E63" t="str">
            <v>2003 Ranger (PN150)</v>
          </cell>
          <cell r="F63">
            <v>37834</v>
          </cell>
          <cell r="G63">
            <v>100</v>
          </cell>
          <cell r="H63">
            <v>56.58</v>
          </cell>
          <cell r="I63">
            <v>1</v>
          </cell>
          <cell r="J63">
            <v>56.58</v>
          </cell>
          <cell r="K63">
            <v>0</v>
          </cell>
          <cell r="M63">
            <v>6</v>
          </cell>
          <cell r="N63">
            <v>47</v>
          </cell>
          <cell r="O63">
            <v>8</v>
          </cell>
          <cell r="P63">
            <v>0</v>
          </cell>
          <cell r="Q63">
            <v>56.58</v>
          </cell>
        </row>
        <row r="64">
          <cell r="C64" t="str">
            <v>03G00</v>
          </cell>
          <cell r="D64" t="str">
            <v>M205 Minor Fresh</v>
          </cell>
          <cell r="E64" t="str">
            <v>2003 Thunderbird Freshening</v>
          </cell>
          <cell r="F64">
            <v>37469</v>
          </cell>
          <cell r="G64">
            <v>35.1</v>
          </cell>
          <cell r="H64">
            <v>6.4</v>
          </cell>
          <cell r="I64">
            <v>1</v>
          </cell>
          <cell r="J64">
            <v>6.4</v>
          </cell>
          <cell r="K64">
            <v>0</v>
          </cell>
          <cell r="L64">
            <v>1.92</v>
          </cell>
          <cell r="M64">
            <v>4.4800000000000004</v>
          </cell>
          <cell r="N64">
            <v>0</v>
          </cell>
          <cell r="O64">
            <v>0</v>
          </cell>
          <cell r="P64">
            <v>0</v>
          </cell>
          <cell r="Q64">
            <v>6.4</v>
          </cell>
        </row>
        <row r="65">
          <cell r="C65" t="str">
            <v>03T00</v>
          </cell>
          <cell r="D65" t="str">
            <v>V229 - Windstar Freshening</v>
          </cell>
          <cell r="E65" t="str">
            <v>2003-1/2 Windstar Freshening (V229)</v>
          </cell>
          <cell r="F65">
            <v>37681</v>
          </cell>
          <cell r="G65">
            <v>795</v>
          </cell>
          <cell r="H65">
            <v>526.91600000000005</v>
          </cell>
          <cell r="I65">
            <v>0.86899999999999999</v>
          </cell>
          <cell r="J65">
            <v>457.89000400000003</v>
          </cell>
          <cell r="K65">
            <v>0</v>
          </cell>
          <cell r="L65">
            <v>31.803661999999999</v>
          </cell>
          <cell r="M65">
            <v>251.64502000000002</v>
          </cell>
          <cell r="N65">
            <v>170.78109400000002</v>
          </cell>
          <cell r="O65">
            <v>3.660228</v>
          </cell>
          <cell r="P65">
            <v>0</v>
          </cell>
          <cell r="Q65">
            <v>457.89000400000003</v>
          </cell>
        </row>
        <row r="66">
          <cell r="C66" t="str">
            <v>03P55</v>
          </cell>
          <cell r="D66" t="str">
            <v>U/8500 V6 Diesel (Instal'n)</v>
          </cell>
          <cell r="E66" t="str">
            <v>2003-3/4 F-Series U8500 (P221)</v>
          </cell>
          <cell r="F66">
            <v>37742</v>
          </cell>
          <cell r="G66">
            <v>107.55500000000001</v>
          </cell>
          <cell r="H66">
            <v>41.125</v>
          </cell>
          <cell r="I66">
            <v>1</v>
          </cell>
          <cell r="J66">
            <v>41.125</v>
          </cell>
          <cell r="K66">
            <v>2.74</v>
          </cell>
          <cell r="L66">
            <v>4.0739999999999998</v>
          </cell>
          <cell r="M66">
            <v>10.942</v>
          </cell>
          <cell r="N66">
            <v>23.166</v>
          </cell>
          <cell r="O66">
            <v>0.20300000000000001</v>
          </cell>
          <cell r="P66">
            <v>0</v>
          </cell>
          <cell r="Q66">
            <v>38.384999999999998</v>
          </cell>
        </row>
        <row r="67">
          <cell r="C67" t="str">
            <v>03X00</v>
          </cell>
          <cell r="D67" t="str">
            <v>P221</v>
          </cell>
          <cell r="E67" t="str">
            <v>2003-3/4 F-Series U8500 (P221)</v>
          </cell>
          <cell r="F67">
            <v>37781</v>
          </cell>
          <cell r="G67">
            <v>1824.1759999999999</v>
          </cell>
          <cell r="H67">
            <v>1249.2149999999999</v>
          </cell>
          <cell r="I67">
            <v>1</v>
          </cell>
          <cell r="J67">
            <v>1249.2149999999999</v>
          </cell>
          <cell r="K67">
            <v>0</v>
          </cell>
          <cell r="L67">
            <v>26.28</v>
          </cell>
          <cell r="M67">
            <v>416.161</v>
          </cell>
          <cell r="N67">
            <v>731.72799999999995</v>
          </cell>
          <cell r="O67">
            <v>75.046000000000006</v>
          </cell>
          <cell r="P67">
            <v>0</v>
          </cell>
          <cell r="Q67">
            <v>1249.2149999999999</v>
          </cell>
        </row>
        <row r="68">
          <cell r="C68" t="str">
            <v>04X02</v>
          </cell>
          <cell r="D68" t="str">
            <v>PN96 Classic F150</v>
          </cell>
          <cell r="E68" t="str">
            <v>2004 Classic PN96</v>
          </cell>
          <cell r="F68">
            <v>37773</v>
          </cell>
          <cell r="G68">
            <v>35</v>
          </cell>
          <cell r="H68">
            <v>35</v>
          </cell>
          <cell r="I68">
            <v>1</v>
          </cell>
          <cell r="J68">
            <v>35</v>
          </cell>
          <cell r="K68">
            <v>0</v>
          </cell>
          <cell r="L68">
            <v>0.16600000000000001</v>
          </cell>
          <cell r="M68">
            <v>6.5839999999999996</v>
          </cell>
          <cell r="N68">
            <v>26.125</v>
          </cell>
          <cell r="O68">
            <v>2.125</v>
          </cell>
          <cell r="P68">
            <v>0</v>
          </cell>
          <cell r="Q68">
            <v>35</v>
          </cell>
        </row>
        <row r="69">
          <cell r="C69" t="str">
            <v>03H10</v>
          </cell>
          <cell r="D69" t="str">
            <v>D219 CTW</v>
          </cell>
          <cell r="E69" t="str">
            <v>2004 D219 HPS</v>
          </cell>
          <cell r="F69">
            <v>37895</v>
          </cell>
          <cell r="G69">
            <v>818.4</v>
          </cell>
          <cell r="H69">
            <v>535.15</v>
          </cell>
          <cell r="I69">
            <v>1</v>
          </cell>
          <cell r="J69">
            <v>535.15</v>
          </cell>
          <cell r="K69">
            <v>0</v>
          </cell>
          <cell r="L69">
            <v>2.423</v>
          </cell>
          <cell r="M69">
            <v>93.686999999999998</v>
          </cell>
          <cell r="N69">
            <v>390.59399999999999</v>
          </cell>
          <cell r="O69">
            <v>48.445999999999998</v>
          </cell>
          <cell r="P69">
            <v>0</v>
          </cell>
          <cell r="Q69">
            <v>535.15</v>
          </cell>
        </row>
        <row r="70">
          <cell r="C70" t="str">
            <v>04H05</v>
          </cell>
          <cell r="D70" t="str">
            <v>D258 HPS</v>
          </cell>
          <cell r="E70" t="str">
            <v>2004 D258 CTW</v>
          </cell>
          <cell r="F70">
            <v>37895</v>
          </cell>
          <cell r="G70">
            <v>669.6</v>
          </cell>
          <cell r="H70">
            <v>437.85</v>
          </cell>
          <cell r="I70">
            <v>1</v>
          </cell>
          <cell r="J70">
            <v>437.85</v>
          </cell>
          <cell r="K70">
            <v>0</v>
          </cell>
          <cell r="L70">
            <v>3.5939999999999999</v>
          </cell>
          <cell r="M70">
            <v>76.983000000000004</v>
          </cell>
          <cell r="N70">
            <v>284.60500000000002</v>
          </cell>
          <cell r="O70">
            <v>72.668000000000006</v>
          </cell>
          <cell r="P70">
            <v>0</v>
          </cell>
          <cell r="Q70">
            <v>437.85</v>
          </cell>
        </row>
        <row r="71">
          <cell r="C71" t="str">
            <v>04601</v>
          </cell>
          <cell r="D71" t="str">
            <v>U204 FRESH (KC &amp; HOFU) - FORD</v>
          </cell>
          <cell r="E71" t="str">
            <v>2004 Escape (U204) Freshening</v>
          </cell>
          <cell r="F71">
            <v>37956</v>
          </cell>
          <cell r="G71">
            <v>182</v>
          </cell>
          <cell r="H71">
            <v>76.8</v>
          </cell>
          <cell r="I71">
            <v>1</v>
          </cell>
          <cell r="J71">
            <v>76.8</v>
          </cell>
          <cell r="K71">
            <v>0</v>
          </cell>
          <cell r="L71">
            <v>0</v>
          </cell>
          <cell r="M71">
            <v>2.448</v>
          </cell>
          <cell r="N71">
            <v>46.075000000000003</v>
          </cell>
          <cell r="O71">
            <v>28.16</v>
          </cell>
          <cell r="P71">
            <v>0.11700000000000001</v>
          </cell>
          <cell r="Q71">
            <v>76.8</v>
          </cell>
        </row>
        <row r="72">
          <cell r="C72" t="str">
            <v>03D01</v>
          </cell>
          <cell r="D72" t="str">
            <v>U293 (U204 H. ELEC. VEH)</v>
          </cell>
          <cell r="E72" t="str">
            <v>2004 Escape HEV (U293)</v>
          </cell>
          <cell r="F72">
            <v>37956</v>
          </cell>
          <cell r="G72">
            <v>158</v>
          </cell>
          <cell r="H72">
            <v>42.194000000000003</v>
          </cell>
          <cell r="I72">
            <v>1</v>
          </cell>
          <cell r="J72">
            <v>42.193999999999996</v>
          </cell>
          <cell r="K72">
            <v>0</v>
          </cell>
          <cell r="L72">
            <v>0</v>
          </cell>
          <cell r="M72">
            <v>2.6160000000000001</v>
          </cell>
          <cell r="N72">
            <v>24.481999999999999</v>
          </cell>
          <cell r="O72">
            <v>14.766999999999999</v>
          </cell>
          <cell r="P72">
            <v>0.32900000000000001</v>
          </cell>
          <cell r="Q72">
            <v>42.193999999999996</v>
          </cell>
        </row>
        <row r="73">
          <cell r="C73" t="str">
            <v>04503</v>
          </cell>
          <cell r="D73" t="str">
            <v>U152 Interior Upgrade</v>
          </cell>
          <cell r="E73" t="str">
            <v>2004 Explorer Interior Upgrade</v>
          </cell>
          <cell r="F73">
            <v>37834</v>
          </cell>
          <cell r="G73">
            <v>40</v>
          </cell>
          <cell r="H73">
            <v>22.629000000000001</v>
          </cell>
          <cell r="I73">
            <v>0.875</v>
          </cell>
          <cell r="J73">
            <v>19.800374999999999</v>
          </cell>
          <cell r="K73">
            <v>0</v>
          </cell>
          <cell r="L73">
            <v>2</v>
          </cell>
          <cell r="M73">
            <v>16</v>
          </cell>
          <cell r="N73">
            <v>3</v>
          </cell>
          <cell r="P73">
            <v>0</v>
          </cell>
          <cell r="Q73">
            <v>19.800374999999999</v>
          </cell>
        </row>
        <row r="74">
          <cell r="C74" t="str">
            <v>04511</v>
          </cell>
          <cell r="D74" t="str">
            <v>U/P207</v>
          </cell>
          <cell r="E74" t="str">
            <v>2004 Explorer Sport/Sport Trac (U/P207)</v>
          </cell>
          <cell r="F74">
            <v>37834</v>
          </cell>
          <cell r="G74">
            <v>69.7</v>
          </cell>
          <cell r="H74">
            <v>31.7</v>
          </cell>
          <cell r="I74">
            <v>1</v>
          </cell>
          <cell r="J74">
            <v>31.7</v>
          </cell>
          <cell r="K74">
            <v>0</v>
          </cell>
          <cell r="L74">
            <v>0</v>
          </cell>
          <cell r="M74">
            <v>9.51</v>
          </cell>
          <cell r="N74">
            <v>22.19</v>
          </cell>
          <cell r="O74">
            <v>0</v>
          </cell>
          <cell r="P74">
            <v>0</v>
          </cell>
          <cell r="Q74">
            <v>31.7</v>
          </cell>
        </row>
        <row r="75">
          <cell r="C75" t="str">
            <v>03H00</v>
          </cell>
          <cell r="D75" t="str">
            <v>D186  Fresh</v>
          </cell>
          <cell r="E75" t="str">
            <v>2004 Taurus/Sable Freshening (D186)</v>
          </cell>
          <cell r="F75">
            <v>37834</v>
          </cell>
          <cell r="G75">
            <v>175</v>
          </cell>
          <cell r="H75">
            <v>99</v>
          </cell>
          <cell r="I75">
            <v>0.68</v>
          </cell>
          <cell r="J75">
            <v>67.319999999999993</v>
          </cell>
          <cell r="K75">
            <v>0</v>
          </cell>
          <cell r="L75">
            <v>1.2240000000000001E-2</v>
          </cell>
          <cell r="M75">
            <v>7.0101199999999997</v>
          </cell>
          <cell r="N75">
            <v>51.432480000000005</v>
          </cell>
          <cell r="O75">
            <v>8.8651599999999995</v>
          </cell>
          <cell r="P75">
            <v>0</v>
          </cell>
          <cell r="Q75">
            <v>67.319999999999993</v>
          </cell>
        </row>
        <row r="76">
          <cell r="C76" t="str">
            <v>04L20</v>
          </cell>
          <cell r="D76" t="str">
            <v>C170 NA Freshening (excl PZEV)</v>
          </cell>
          <cell r="E76" t="str">
            <v>2004-1/2 Focus Freshening</v>
          </cell>
          <cell r="F76">
            <v>37987</v>
          </cell>
          <cell r="G76">
            <v>140</v>
          </cell>
          <cell r="H76">
            <v>78.768000000000001</v>
          </cell>
          <cell r="I76">
            <v>1</v>
          </cell>
          <cell r="J76">
            <v>78.768000000000015</v>
          </cell>
          <cell r="K76">
            <v>0</v>
          </cell>
          <cell r="L76">
            <v>0</v>
          </cell>
          <cell r="M76">
            <v>2.14</v>
          </cell>
          <cell r="N76">
            <v>39.779000000000003</v>
          </cell>
          <cell r="O76">
            <v>36.44</v>
          </cell>
          <cell r="P76">
            <v>0.40899999999999997</v>
          </cell>
          <cell r="Q76">
            <v>78.768000000000015</v>
          </cell>
        </row>
        <row r="77">
          <cell r="C77" t="str">
            <v>04P40</v>
          </cell>
          <cell r="D77" t="str">
            <v>2.3L I4 FOR C214 N/A</v>
          </cell>
          <cell r="E77" t="str">
            <v>2004-1/2 Focus Freshening</v>
          </cell>
          <cell r="F77">
            <v>37987</v>
          </cell>
          <cell r="G77">
            <v>13.8</v>
          </cell>
          <cell r="H77">
            <v>7.5190000000000001</v>
          </cell>
          <cell r="I77">
            <v>1</v>
          </cell>
          <cell r="J77">
            <v>7.519000000000001</v>
          </cell>
          <cell r="K77">
            <v>0</v>
          </cell>
          <cell r="L77">
            <v>0</v>
          </cell>
          <cell r="M77">
            <v>1.28</v>
          </cell>
          <cell r="N77">
            <v>4.3390000000000004</v>
          </cell>
          <cell r="O77">
            <v>1.694</v>
          </cell>
          <cell r="P77">
            <v>0.20599999999999999</v>
          </cell>
          <cell r="Q77">
            <v>7.519000000000001</v>
          </cell>
        </row>
        <row r="78">
          <cell r="C78" t="str">
            <v>04I00</v>
          </cell>
          <cell r="D78" t="str">
            <v>S197 Dew bsd Mustang (AAI)</v>
          </cell>
          <cell r="E78" t="str">
            <v>2004-1/2 Mustang (S197)</v>
          </cell>
          <cell r="F78">
            <v>38078</v>
          </cell>
          <cell r="G78">
            <v>278</v>
          </cell>
          <cell r="H78">
            <v>91.5</v>
          </cell>
          <cell r="I78">
            <v>1</v>
          </cell>
          <cell r="J78">
            <v>91.5</v>
          </cell>
          <cell r="K78">
            <v>0</v>
          </cell>
          <cell r="L78">
            <v>6.8000000000000005E-2</v>
          </cell>
          <cell r="M78">
            <v>5.3630000000000004</v>
          </cell>
          <cell r="N78">
            <v>38.707999999999998</v>
          </cell>
          <cell r="O78">
            <v>44.347999999999999</v>
          </cell>
          <cell r="P78">
            <v>3.0129999999999999</v>
          </cell>
          <cell r="Q78">
            <v>91.5</v>
          </cell>
        </row>
        <row r="79">
          <cell r="C79" t="str">
            <v>05600</v>
          </cell>
          <cell r="D79" t="str">
            <v>U204 Minor (KC&amp;Hofu) - FORD</v>
          </cell>
          <cell r="E79" t="str">
            <v>2005 Escape (U204) Freshening</v>
          </cell>
          <cell r="F79">
            <v>38292</v>
          </cell>
          <cell r="G79">
            <v>70</v>
          </cell>
          <cell r="H79">
            <v>39.384999999999998</v>
          </cell>
          <cell r="I79">
            <v>1</v>
          </cell>
          <cell r="J79">
            <v>39.384999999999998</v>
          </cell>
          <cell r="K79">
            <v>0</v>
          </cell>
          <cell r="L79">
            <v>0</v>
          </cell>
          <cell r="M79">
            <v>0</v>
          </cell>
          <cell r="N79">
            <v>1.639</v>
          </cell>
          <cell r="O79">
            <v>25.245000000000001</v>
          </cell>
          <cell r="P79">
            <v>12.465</v>
          </cell>
          <cell r="Q79">
            <v>39.349000000000004</v>
          </cell>
        </row>
        <row r="80">
          <cell r="C80" t="str">
            <v>05U10</v>
          </cell>
          <cell r="D80" t="str">
            <v>U222 Regulatory Program</v>
          </cell>
          <cell r="E80" t="str">
            <v>2005 Expedition Regulatory Program</v>
          </cell>
          <cell r="F80">
            <v>38200</v>
          </cell>
          <cell r="G80">
            <v>16.989999999999998</v>
          </cell>
          <cell r="H80">
            <v>10</v>
          </cell>
          <cell r="I80">
            <v>1</v>
          </cell>
          <cell r="J80">
            <v>10</v>
          </cell>
          <cell r="K80">
            <v>0</v>
          </cell>
          <cell r="L80">
            <v>0</v>
          </cell>
          <cell r="M80">
            <v>2E-3</v>
          </cell>
          <cell r="N80">
            <v>1.042</v>
          </cell>
          <cell r="O80">
            <v>7.6390000000000002</v>
          </cell>
          <cell r="P80">
            <v>1.3169999999999999</v>
          </cell>
          <cell r="Q80">
            <v>10</v>
          </cell>
        </row>
        <row r="81">
          <cell r="C81" t="str">
            <v>05Z00</v>
          </cell>
          <cell r="D81" t="str">
            <v>P254/U254 Major Freshening</v>
          </cell>
          <cell r="E81" t="str">
            <v>2005 F-Series O8500/Excursion (P/U254)</v>
          </cell>
          <cell r="F81">
            <v>38200</v>
          </cell>
          <cell r="G81">
            <v>1660</v>
          </cell>
          <cell r="H81">
            <v>1154.2470000000001</v>
          </cell>
          <cell r="I81">
            <v>1</v>
          </cell>
          <cell r="J81">
            <v>1154.2469999999998</v>
          </cell>
          <cell r="K81">
            <v>0</v>
          </cell>
          <cell r="L81">
            <v>0</v>
          </cell>
          <cell r="M81">
            <v>21.872999999999998</v>
          </cell>
          <cell r="N81">
            <v>285</v>
          </cell>
          <cell r="O81">
            <v>708</v>
          </cell>
          <cell r="P81">
            <v>143</v>
          </cell>
          <cell r="Q81">
            <v>1154.2469999999998</v>
          </cell>
        </row>
        <row r="82">
          <cell r="C82" t="str">
            <v>05X00</v>
          </cell>
          <cell r="D82" t="str">
            <v>P221 (F150) Minor Fresh</v>
          </cell>
          <cell r="E82" t="str">
            <v>2005 F-Series SVT/HD</v>
          </cell>
          <cell r="F82">
            <v>38200</v>
          </cell>
          <cell r="G82">
            <v>30</v>
          </cell>
          <cell r="H82">
            <v>16.88</v>
          </cell>
          <cell r="I82">
            <v>1</v>
          </cell>
          <cell r="J82">
            <v>16.88</v>
          </cell>
          <cell r="K82">
            <v>0</v>
          </cell>
          <cell r="L82">
            <v>0</v>
          </cell>
          <cell r="M82">
            <v>2E-3</v>
          </cell>
          <cell r="N82">
            <v>1.599</v>
          </cell>
          <cell r="O82">
            <v>12.805</v>
          </cell>
          <cell r="P82">
            <v>2.4740000000000002</v>
          </cell>
          <cell r="Q82">
            <v>16.88</v>
          </cell>
        </row>
        <row r="83">
          <cell r="C83" t="str">
            <v>05500</v>
          </cell>
          <cell r="D83" t="str">
            <v>U251 Explorer/Sport/Trac/Mount</v>
          </cell>
          <cell r="E83" t="str">
            <v>2005-1/2 Explorer/Sport/Sport Trac (U251)</v>
          </cell>
          <cell r="F83">
            <v>38384</v>
          </cell>
          <cell r="G83">
            <v>1300</v>
          </cell>
          <cell r="H83">
            <v>847.31399999999996</v>
          </cell>
          <cell r="I83">
            <v>0.85499999999999998</v>
          </cell>
          <cell r="J83">
            <v>724.45347000000004</v>
          </cell>
          <cell r="K83">
            <v>0</v>
          </cell>
          <cell r="L83">
            <v>0</v>
          </cell>
          <cell r="M83">
            <v>1.8083250000000002</v>
          </cell>
          <cell r="N83">
            <v>57.649230000000003</v>
          </cell>
          <cell r="O83">
            <v>391.91831999999999</v>
          </cell>
          <cell r="P83">
            <v>265.56385500000005</v>
          </cell>
          <cell r="Q83">
            <v>716.93973000000005</v>
          </cell>
        </row>
        <row r="84">
          <cell r="C84" t="str">
            <v>06W01</v>
          </cell>
          <cell r="D84" t="str">
            <v>V127 E-Series Minor Fresh</v>
          </cell>
          <cell r="E84" t="str">
            <v>2006 E-Series Freshening</v>
          </cell>
          <cell r="F84">
            <v>38565</v>
          </cell>
          <cell r="G84">
            <v>291</v>
          </cell>
          <cell r="H84">
            <v>142</v>
          </cell>
          <cell r="I84">
            <v>1</v>
          </cell>
          <cell r="J84">
            <v>142</v>
          </cell>
          <cell r="K84">
            <v>0</v>
          </cell>
          <cell r="L84">
            <v>0</v>
          </cell>
          <cell r="M84">
            <v>0</v>
          </cell>
          <cell r="O84">
            <v>14.449000000000002</v>
          </cell>
          <cell r="P84">
            <v>108.73099999999999</v>
          </cell>
          <cell r="Q84">
            <v>169.214</v>
          </cell>
        </row>
        <row r="85">
          <cell r="C85" t="str">
            <v>06W02</v>
          </cell>
          <cell r="D85" t="str">
            <v>V127 4.6L 3Valve Veh. Install</v>
          </cell>
          <cell r="E85" t="str">
            <v>2006 E-Series Freshening</v>
          </cell>
          <cell r="F85">
            <v>38565</v>
          </cell>
          <cell r="G85">
            <v>10</v>
          </cell>
          <cell r="H85">
            <v>5.6580000000000004</v>
          </cell>
          <cell r="I85">
            <v>1</v>
          </cell>
          <cell r="J85">
            <v>5.6579999999999995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0.59199999999999997</v>
          </cell>
          <cell r="P85">
            <v>4.274</v>
          </cell>
          <cell r="Q85">
            <v>4.8659999999999997</v>
          </cell>
        </row>
        <row r="86">
          <cell r="C86" t="str">
            <v>06P36</v>
          </cell>
          <cell r="D86" t="str">
            <v>5.4 3V V8 for U324</v>
          </cell>
          <cell r="E86" t="str">
            <v>2006 Expedition (U324) Freshening</v>
          </cell>
          <cell r="F86">
            <v>38565</v>
          </cell>
          <cell r="G86">
            <v>39.433999999999997</v>
          </cell>
          <cell r="H86">
            <v>1.2529999999999999</v>
          </cell>
          <cell r="I86">
            <v>1</v>
          </cell>
          <cell r="J86">
            <v>1.2530000000000001</v>
          </cell>
          <cell r="K86">
            <v>0</v>
          </cell>
          <cell r="L86">
            <v>0</v>
          </cell>
          <cell r="M86">
            <v>0</v>
          </cell>
          <cell r="N86">
            <v>2E-3</v>
          </cell>
          <cell r="O86">
            <v>0.47099999999999997</v>
          </cell>
          <cell r="P86">
            <v>0.64</v>
          </cell>
          <cell r="Q86">
            <v>1.113</v>
          </cell>
        </row>
        <row r="87">
          <cell r="C87" t="str">
            <v>06U00</v>
          </cell>
          <cell r="D87" t="str">
            <v>U324/326 Major Freshening</v>
          </cell>
          <cell r="E87" t="str">
            <v>2006 Expedition (U324) Freshening</v>
          </cell>
          <cell r="F87">
            <v>38565</v>
          </cell>
          <cell r="G87">
            <v>781</v>
          </cell>
          <cell r="H87">
            <v>501</v>
          </cell>
          <cell r="I87">
            <v>0.68799999999999994</v>
          </cell>
          <cell r="J87">
            <v>344.68799999999999</v>
          </cell>
          <cell r="K87">
            <v>0</v>
          </cell>
          <cell r="L87">
            <v>0</v>
          </cell>
          <cell r="M87">
            <v>0</v>
          </cell>
          <cell r="N87">
            <v>6.5311840000000005</v>
          </cell>
          <cell r="O87">
            <v>84.522863999999998</v>
          </cell>
          <cell r="P87">
            <v>210</v>
          </cell>
          <cell r="Q87">
            <v>305.44172800000001</v>
          </cell>
        </row>
        <row r="88">
          <cell r="C88" t="str">
            <v>06V01</v>
          </cell>
          <cell r="D88" t="str">
            <v>P273 Minor Fresh - FORD</v>
          </cell>
          <cell r="E88" t="str">
            <v>2006 Ranger Freshening</v>
          </cell>
          <cell r="F88">
            <v>38565</v>
          </cell>
          <cell r="G88">
            <v>712.59100000000001</v>
          </cell>
          <cell r="H88">
            <v>446.27499999999998</v>
          </cell>
          <cell r="I88">
            <v>1</v>
          </cell>
          <cell r="J88">
            <v>446.27499999999998</v>
          </cell>
          <cell r="K88">
            <v>0</v>
          </cell>
          <cell r="L88">
            <v>0</v>
          </cell>
          <cell r="M88">
            <v>0</v>
          </cell>
          <cell r="N88">
            <v>8.33</v>
          </cell>
          <cell r="O88">
            <v>109.027</v>
          </cell>
          <cell r="P88">
            <v>277.80500000000001</v>
          </cell>
          <cell r="Q88">
            <v>395.16200000000003</v>
          </cell>
        </row>
        <row r="89">
          <cell r="C89" t="str">
            <v>06H10</v>
          </cell>
          <cell r="D89" t="str">
            <v>D197 RWD Sport Sedan-AAI</v>
          </cell>
          <cell r="E89" t="str">
            <v>2006 Sports Sedan (D197)</v>
          </cell>
          <cell r="F89">
            <v>38565</v>
          </cell>
          <cell r="G89">
            <v>273</v>
          </cell>
          <cell r="H89">
            <v>153</v>
          </cell>
          <cell r="I89">
            <v>1</v>
          </cell>
          <cell r="J89">
            <v>153</v>
          </cell>
          <cell r="K89">
            <v>0</v>
          </cell>
          <cell r="L89">
            <v>0</v>
          </cell>
          <cell r="M89">
            <v>0</v>
          </cell>
          <cell r="N89">
            <v>2.8000000000000001E-2</v>
          </cell>
          <cell r="O89">
            <v>15.93</v>
          </cell>
          <cell r="P89">
            <v>115.73699999999999</v>
          </cell>
          <cell r="Q89">
            <v>131.69499999999999</v>
          </cell>
        </row>
        <row r="90">
          <cell r="C90" t="str">
            <v>06H01</v>
          </cell>
          <cell r="D90" t="str">
            <v>D186 Taurus Freshening</v>
          </cell>
          <cell r="E90" t="str">
            <v>2006 Taurus Minor Freshening (D186)</v>
          </cell>
          <cell r="F90">
            <v>38565</v>
          </cell>
          <cell r="G90">
            <v>50</v>
          </cell>
          <cell r="H90">
            <v>28.286000000000001</v>
          </cell>
          <cell r="I90">
            <v>0.5</v>
          </cell>
          <cell r="J90">
            <v>14.142999999999999</v>
          </cell>
          <cell r="K90">
            <v>0</v>
          </cell>
          <cell r="L90">
            <v>0</v>
          </cell>
          <cell r="M90">
            <v>0</v>
          </cell>
          <cell r="N90">
            <v>2E-3</v>
          </cell>
          <cell r="O90">
            <v>1.4815</v>
          </cell>
          <cell r="P90">
            <v>10.6745</v>
          </cell>
          <cell r="Q90">
            <v>12.157999999999999</v>
          </cell>
        </row>
        <row r="91">
          <cell r="C91" t="str">
            <v>06G00</v>
          </cell>
          <cell r="D91" t="str">
            <v>M205 Minor Freshening</v>
          </cell>
          <cell r="E91" t="str">
            <v>2006-1/2 Thunderbird Freshening</v>
          </cell>
          <cell r="F91">
            <v>38749</v>
          </cell>
          <cell r="G91">
            <v>30</v>
          </cell>
          <cell r="H91">
            <v>16.972000000000001</v>
          </cell>
          <cell r="I91">
            <v>1</v>
          </cell>
          <cell r="J91">
            <v>16.972000000000001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0.29099999999999998</v>
          </cell>
          <cell r="P91">
            <v>7.7729999999999997</v>
          </cell>
          <cell r="Q91">
            <v>8.0640000000000001</v>
          </cell>
        </row>
        <row r="92">
          <cell r="C92" t="str">
            <v>07501</v>
          </cell>
          <cell r="D92" t="str">
            <v>U251 Explorer Fresh</v>
          </cell>
          <cell r="E92" t="str">
            <v>2007 Explorer Minor Freshening</v>
          </cell>
          <cell r="F92">
            <v>38930</v>
          </cell>
          <cell r="G92">
            <v>150</v>
          </cell>
          <cell r="H92">
            <v>84.394999999999996</v>
          </cell>
          <cell r="I92">
            <v>0.75</v>
          </cell>
          <cell r="J92">
            <v>63.296250000000001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1.0500000000000001E-2</v>
          </cell>
          <cell r="P92">
            <v>6.0067500000000003</v>
          </cell>
          <cell r="Q92">
            <v>6.0172500000000007</v>
          </cell>
        </row>
        <row r="93">
          <cell r="C93" t="str">
            <v>07L00</v>
          </cell>
          <cell r="D93" t="str">
            <v>C170 Focus Major Fresh</v>
          </cell>
          <cell r="E93" t="str">
            <v>2007 Focus (C307)</v>
          </cell>
          <cell r="F93">
            <v>38930</v>
          </cell>
          <cell r="G93">
            <v>700</v>
          </cell>
          <cell r="H93">
            <v>449.72800000000001</v>
          </cell>
          <cell r="I93">
            <v>1</v>
          </cell>
          <cell r="J93">
            <v>449.72799999999995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8.5229999999999997</v>
          </cell>
          <cell r="P93">
            <v>110.28100000000001</v>
          </cell>
          <cell r="Q93">
            <v>118.804</v>
          </cell>
        </row>
        <row r="94">
          <cell r="C94" t="str">
            <v>07I00</v>
          </cell>
          <cell r="D94" t="str">
            <v>DEW Bsd Mustang Fresh</v>
          </cell>
          <cell r="E94" t="str">
            <v>2007 Mustang Freshening</v>
          </cell>
          <cell r="F94">
            <v>38930</v>
          </cell>
          <cell r="G94">
            <v>170</v>
          </cell>
          <cell r="H94">
            <v>85.334000000000003</v>
          </cell>
          <cell r="I94">
            <v>1</v>
          </cell>
          <cell r="J94">
            <v>85.334000000000003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1.6E-2</v>
          </cell>
          <cell r="P94">
            <v>8.1010000000000009</v>
          </cell>
          <cell r="Q94">
            <v>8.1170000000000009</v>
          </cell>
        </row>
        <row r="95">
          <cell r="C95" t="str">
            <v>07G00</v>
          </cell>
          <cell r="D95" t="str">
            <v>M205 Minor Fresh</v>
          </cell>
          <cell r="E95" t="str">
            <v>2007 Thunderbird Freshening</v>
          </cell>
          <cell r="F95">
            <v>38930</v>
          </cell>
          <cell r="G95">
            <v>150</v>
          </cell>
          <cell r="H95">
            <v>84.394999999999996</v>
          </cell>
          <cell r="I95">
            <v>1</v>
          </cell>
          <cell r="J95">
            <v>84.394999999999996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1.4E-2</v>
          </cell>
          <cell r="P95">
            <v>8.0090000000000003</v>
          </cell>
          <cell r="Q95">
            <v>8.0229999999999997</v>
          </cell>
        </row>
        <row r="96">
          <cell r="C96" t="str">
            <v>07L10</v>
          </cell>
          <cell r="D96" t="str">
            <v>C311 Blue/Move NA</v>
          </cell>
          <cell r="E96" t="str">
            <v>2007-1/2 Blue/Move (C311)</v>
          </cell>
          <cell r="F96">
            <v>39114</v>
          </cell>
          <cell r="G96">
            <v>250</v>
          </cell>
          <cell r="H96">
            <v>140.65899999999999</v>
          </cell>
          <cell r="I96">
            <v>1</v>
          </cell>
          <cell r="J96">
            <v>140.65899999999999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2.8250000000000002</v>
          </cell>
          <cell r="Q96">
            <v>2.8250000000000002</v>
          </cell>
        </row>
        <row r="97">
          <cell r="C97" t="str">
            <v>08801</v>
          </cell>
          <cell r="D97" t="str">
            <v>U242 Major Fresh - Ford Share</v>
          </cell>
          <cell r="E97" t="str">
            <v>2007-1/2 Escape (U242)</v>
          </cell>
          <cell r="F97">
            <v>39114</v>
          </cell>
          <cell r="G97">
            <v>425</v>
          </cell>
          <cell r="H97">
            <v>279.334</v>
          </cell>
          <cell r="I97">
            <v>1</v>
          </cell>
          <cell r="J97">
            <v>279.334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0.67400000000000004</v>
          </cell>
          <cell r="P97">
            <v>22.074999999999999</v>
          </cell>
          <cell r="Q97">
            <v>22.748999999999999</v>
          </cell>
        </row>
        <row r="98">
          <cell r="C98" t="str">
            <v>07T00</v>
          </cell>
          <cell r="D98" t="str">
            <v>V196 Windstar</v>
          </cell>
          <cell r="E98" t="str">
            <v>2007-1/2 Windstar Freshening (V196)</v>
          </cell>
          <cell r="F98">
            <v>39083</v>
          </cell>
          <cell r="G98">
            <v>1127</v>
          </cell>
          <cell r="H98">
            <v>723.3</v>
          </cell>
          <cell r="I98">
            <v>0.76</v>
          </cell>
          <cell r="J98">
            <v>549.70800000000008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1.7829600000000001</v>
          </cell>
          <cell r="P98">
            <v>55.276319999999998</v>
          </cell>
          <cell r="Q98">
            <v>57.059280000000001</v>
          </cell>
        </row>
        <row r="99">
          <cell r="C99" t="str">
            <v>08500</v>
          </cell>
          <cell r="D99" t="str">
            <v>U251 Major Fresh (Expl/Mt/U/P)</v>
          </cell>
          <cell r="E99" t="str">
            <v>2008 Explorer - Aluminum</v>
          </cell>
          <cell r="F99">
            <v>39295</v>
          </cell>
          <cell r="G99">
            <v>1100</v>
          </cell>
          <cell r="H99">
            <v>716.95899999999995</v>
          </cell>
          <cell r="I99">
            <v>0.84</v>
          </cell>
          <cell r="J99">
            <v>602.24555999999995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11.240880000000001</v>
          </cell>
          <cell r="Q99">
            <v>11.240880000000001</v>
          </cell>
        </row>
        <row r="100">
          <cell r="C100" t="str">
            <v>99F56</v>
          </cell>
          <cell r="D100" t="str">
            <v>DEW98 3.9L V8</v>
          </cell>
          <cell r="E100" t="str">
            <v>3.9L AJ V8</v>
          </cell>
          <cell r="F100">
            <v>36252</v>
          </cell>
          <cell r="G100">
            <v>276.85399999999998</v>
          </cell>
          <cell r="H100">
            <v>200.011</v>
          </cell>
          <cell r="I100">
            <v>0.25997920114393708</v>
          </cell>
          <cell r="J100">
            <v>51.998699999999999</v>
          </cell>
          <cell r="K100">
            <v>1.33874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</row>
        <row r="101">
          <cell r="C101" t="str">
            <v>01P07</v>
          </cell>
          <cell r="D101" t="str">
            <v>3.9L 5K Cap Incr at LEP</v>
          </cell>
          <cell r="E101" t="str">
            <v>3.9L AJ V8</v>
          </cell>
          <cell r="F101">
            <v>36739</v>
          </cell>
          <cell r="G101">
            <v>2.9950000000000001</v>
          </cell>
          <cell r="H101">
            <v>2.2549999999999999</v>
          </cell>
          <cell r="I101">
            <v>0.26</v>
          </cell>
          <cell r="J101">
            <v>0.58630000000000004</v>
          </cell>
          <cell r="K101">
            <v>0.26935999999999999</v>
          </cell>
          <cell r="L101">
            <v>0.19681999999999999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0.19681999999999999</v>
          </cell>
        </row>
        <row r="102">
          <cell r="C102" t="str">
            <v>02P00</v>
          </cell>
          <cell r="D102" t="str">
            <v>Expand Lima V8 Capacity-6K</v>
          </cell>
          <cell r="E102" t="str">
            <v>3.9L AJ V8</v>
          </cell>
          <cell r="F102">
            <v>37104</v>
          </cell>
          <cell r="G102">
            <v>6.0739999999999998</v>
          </cell>
          <cell r="H102">
            <v>3.4849999999999999</v>
          </cell>
          <cell r="I102">
            <v>0.26</v>
          </cell>
          <cell r="J102">
            <v>0.90610000000000013</v>
          </cell>
          <cell r="K102">
            <v>0.22308</v>
          </cell>
          <cell r="L102">
            <v>0.56446000000000007</v>
          </cell>
          <cell r="M102">
            <v>0.11856</v>
          </cell>
          <cell r="N102">
            <v>0</v>
          </cell>
          <cell r="O102">
            <v>0</v>
          </cell>
          <cell r="P102">
            <v>0</v>
          </cell>
          <cell r="Q102">
            <v>0.68302000000000007</v>
          </cell>
        </row>
        <row r="103">
          <cell r="C103" t="str">
            <v>03P44</v>
          </cell>
          <cell r="D103" t="str">
            <v>AJ35 V8 Upgrade for DEW</v>
          </cell>
          <cell r="E103" t="str">
            <v>3.9L AJ V8</v>
          </cell>
          <cell r="F103">
            <v>37469</v>
          </cell>
          <cell r="G103">
            <v>73.837999999999994</v>
          </cell>
          <cell r="H103">
            <v>29.437000000000001</v>
          </cell>
          <cell r="I103">
            <v>0.31200000000000006</v>
          </cell>
          <cell r="J103">
            <v>9.1843440000000012</v>
          </cell>
          <cell r="K103">
            <v>0.18720000000000001</v>
          </cell>
          <cell r="L103">
            <v>3.078192</v>
          </cell>
          <cell r="M103">
            <v>4.7617440000000002</v>
          </cell>
          <cell r="N103">
            <v>1.157208</v>
          </cell>
          <cell r="O103">
            <v>0</v>
          </cell>
          <cell r="P103">
            <v>0</v>
          </cell>
          <cell r="Q103">
            <v>8.9971440000000005</v>
          </cell>
        </row>
        <row r="104">
          <cell r="C104" t="str">
            <v>01P28</v>
          </cell>
          <cell r="D104" t="str">
            <v>Car/Trk Cap--01MY, KEP</v>
          </cell>
          <cell r="E104" t="str">
            <v>4.0L V6</v>
          </cell>
          <cell r="F104">
            <v>36831</v>
          </cell>
          <cell r="G104">
            <v>55.942</v>
          </cell>
          <cell r="H104">
            <v>44.902999999999999</v>
          </cell>
          <cell r="I104">
            <v>1</v>
          </cell>
          <cell r="J104">
            <v>44.902999999999999</v>
          </cell>
          <cell r="K104">
            <v>27.202999999999999</v>
          </cell>
          <cell r="L104">
            <v>17.7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17.7</v>
          </cell>
        </row>
        <row r="105">
          <cell r="C105" t="str">
            <v>01P65</v>
          </cell>
          <cell r="D105" t="str">
            <v>COLOGNE CONV TO 100% SOHC</v>
          </cell>
          <cell r="E105" t="str">
            <v>4.0L V6</v>
          </cell>
          <cell r="F105">
            <v>36739</v>
          </cell>
          <cell r="G105">
            <v>185.74100000000001</v>
          </cell>
          <cell r="H105">
            <v>149.31399999999999</v>
          </cell>
          <cell r="I105">
            <v>0.98</v>
          </cell>
          <cell r="J105">
            <v>146.32772</v>
          </cell>
          <cell r="K105">
            <v>33.486600000000003</v>
          </cell>
          <cell r="L105">
            <v>24.022740000000002</v>
          </cell>
          <cell r="M105">
            <v>3.6152199999999999</v>
          </cell>
          <cell r="N105">
            <v>3.6612800000000001</v>
          </cell>
          <cell r="O105">
            <v>1.8492600000000001</v>
          </cell>
          <cell r="P105">
            <v>0</v>
          </cell>
          <cell r="Q105">
            <v>33.148499999999999</v>
          </cell>
        </row>
        <row r="106">
          <cell r="C106" t="str">
            <v>03P03</v>
          </cell>
          <cell r="D106" t="str">
            <v>4.0L SOHC VCT Upgrade</v>
          </cell>
          <cell r="E106" t="str">
            <v>4.0L V6</v>
          </cell>
          <cell r="F106">
            <v>37469</v>
          </cell>
          <cell r="G106">
            <v>168.703</v>
          </cell>
          <cell r="H106">
            <v>117.496</v>
          </cell>
          <cell r="I106">
            <v>0.995</v>
          </cell>
          <cell r="J106">
            <v>116.90852000000001</v>
          </cell>
          <cell r="K106">
            <v>1.4507100000000002</v>
          </cell>
          <cell r="L106">
            <v>38.606574999999999</v>
          </cell>
          <cell r="M106">
            <v>55.034050000000001</v>
          </cell>
          <cell r="N106">
            <v>16.272199999999998</v>
          </cell>
          <cell r="O106">
            <v>4.5449850000000005</v>
          </cell>
          <cell r="P106">
            <v>0</v>
          </cell>
          <cell r="Q106">
            <v>115.45780999999999</v>
          </cell>
        </row>
        <row r="107">
          <cell r="C107" t="str">
            <v>04P29</v>
          </cell>
          <cell r="D107" t="str">
            <v>PN150 Carryover 4.0L</v>
          </cell>
          <cell r="E107" t="str">
            <v>4.0L V6</v>
          </cell>
          <cell r="F107">
            <v>37834</v>
          </cell>
          <cell r="G107">
            <v>30</v>
          </cell>
          <cell r="H107">
            <v>25</v>
          </cell>
          <cell r="I107">
            <v>1</v>
          </cell>
          <cell r="J107">
            <v>25</v>
          </cell>
          <cell r="K107">
            <v>0</v>
          </cell>
          <cell r="L107">
            <v>0</v>
          </cell>
          <cell r="M107">
            <v>4.2510000000000003</v>
          </cell>
          <cell r="N107">
            <v>17.748000000000001</v>
          </cell>
          <cell r="O107">
            <v>3.0010000000000003</v>
          </cell>
          <cell r="P107">
            <v>0</v>
          </cell>
          <cell r="Q107">
            <v>25</v>
          </cell>
        </row>
        <row r="108">
          <cell r="C108" t="str">
            <v>03P43</v>
          </cell>
          <cell r="D108" t="str">
            <v>V8/V10 3v Mod Upgrade Ph I(VT)</v>
          </cell>
          <cell r="E108" t="str">
            <v>4.6/5.4/6.8L V Engines - 3V Programs</v>
          </cell>
          <cell r="F108">
            <v>37469</v>
          </cell>
          <cell r="G108">
            <v>31.797000000000001</v>
          </cell>
          <cell r="H108">
            <v>28.395</v>
          </cell>
          <cell r="I108">
            <v>0.998</v>
          </cell>
          <cell r="J108">
            <v>28.33821</v>
          </cell>
          <cell r="K108">
            <v>0</v>
          </cell>
          <cell r="L108">
            <v>12.55983</v>
          </cell>
          <cell r="M108">
            <v>12.432086</v>
          </cell>
          <cell r="N108">
            <v>3.3462939999999999</v>
          </cell>
          <cell r="O108">
            <v>0</v>
          </cell>
          <cell r="P108">
            <v>0</v>
          </cell>
          <cell r="Q108">
            <v>28.33821</v>
          </cell>
        </row>
        <row r="109">
          <cell r="C109" t="str">
            <v>04P21</v>
          </cell>
          <cell r="D109" t="str">
            <v>VN127 5.4L 3V Mod V8 CNG</v>
          </cell>
          <cell r="E109" t="str">
            <v>4.6/5.4/6.8L V Engines - 3V Programs</v>
          </cell>
          <cell r="F109">
            <v>37865</v>
          </cell>
          <cell r="G109">
            <v>7.4</v>
          </cell>
          <cell r="H109">
            <v>2.895</v>
          </cell>
          <cell r="I109">
            <v>1</v>
          </cell>
          <cell r="J109">
            <v>2.895</v>
          </cell>
          <cell r="K109">
            <v>0</v>
          </cell>
          <cell r="L109">
            <v>1E-3</v>
          </cell>
          <cell r="M109">
            <v>0.86299999999999999</v>
          </cell>
          <cell r="N109">
            <v>1.5529999999999999</v>
          </cell>
          <cell r="O109">
            <v>0.47799999999999998</v>
          </cell>
          <cell r="P109">
            <v>0</v>
          </cell>
          <cell r="Q109">
            <v>2.895</v>
          </cell>
        </row>
        <row r="110">
          <cell r="C110" t="str">
            <v>04P54</v>
          </cell>
          <cell r="D110" t="str">
            <v>V8/V10 3V Mod Upgrade Phase I</v>
          </cell>
          <cell r="E110" t="str">
            <v>4.6/5.4/6.8L V Engines - 3V Programs</v>
          </cell>
          <cell r="F110">
            <v>37834</v>
          </cell>
          <cell r="G110">
            <v>692.32100000000003</v>
          </cell>
          <cell r="H110">
            <v>488.416</v>
          </cell>
          <cell r="I110">
            <v>0.94499999999999995</v>
          </cell>
          <cell r="J110">
            <v>461.55312000000004</v>
          </cell>
          <cell r="K110">
            <v>37.873710000000003</v>
          </cell>
          <cell r="L110">
            <v>93.156209999999987</v>
          </cell>
          <cell r="M110">
            <v>185.939145</v>
          </cell>
          <cell r="N110">
            <v>119.77024499999999</v>
          </cell>
          <cell r="O110">
            <v>24.813809999999997</v>
          </cell>
          <cell r="P110">
            <v>0</v>
          </cell>
          <cell r="Q110">
            <v>423.67941000000002</v>
          </cell>
        </row>
        <row r="111">
          <cell r="C111" t="str">
            <v>05P53</v>
          </cell>
          <cell r="D111" t="str">
            <v>4.6L 3V Bundle-Romeo-Phs II</v>
          </cell>
          <cell r="E111" t="str">
            <v>4.6/5.4/6.8L V Engines - 3V Programs</v>
          </cell>
          <cell r="F111">
            <v>38200</v>
          </cell>
          <cell r="G111">
            <v>434.5</v>
          </cell>
          <cell r="H111">
            <v>319.7</v>
          </cell>
          <cell r="I111">
            <v>0.94499999999999995</v>
          </cell>
          <cell r="J111">
            <v>302.11650000000003</v>
          </cell>
          <cell r="K111">
            <v>0</v>
          </cell>
          <cell r="L111">
            <v>0</v>
          </cell>
          <cell r="M111">
            <v>0.5</v>
          </cell>
          <cell r="N111">
            <v>45.6</v>
          </cell>
          <cell r="O111">
            <v>175</v>
          </cell>
          <cell r="P111">
            <v>74</v>
          </cell>
          <cell r="Q111">
            <v>302.11650000000003</v>
          </cell>
        </row>
        <row r="112">
          <cell r="C112" t="str">
            <v>99P53</v>
          </cell>
          <cell r="D112" t="str">
            <v>4.6L/5.4L 4V TUMBLE PORT</v>
          </cell>
          <cell r="E112" t="str">
            <v>4.6/5.4/6.8L V Engines - 4V Programs</v>
          </cell>
          <cell r="F112">
            <v>36008</v>
          </cell>
          <cell r="G112">
            <v>86.028999999999996</v>
          </cell>
          <cell r="H112">
            <v>22.972999999999999</v>
          </cell>
          <cell r="I112">
            <v>7.3000000000000023E-2</v>
          </cell>
          <cell r="J112">
            <v>1.6770290000000003</v>
          </cell>
          <cell r="K112">
            <v>8.4680000000000005E-2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</row>
        <row r="113">
          <cell r="C113" t="str">
            <v>00P31</v>
          </cell>
          <cell r="D113" t="str">
            <v>REP 4V Mini Head Line</v>
          </cell>
          <cell r="E113" t="str">
            <v>4.6/5.4/6.8L V Engines - 4V Programs</v>
          </cell>
          <cell r="F113">
            <v>36526</v>
          </cell>
          <cell r="G113">
            <v>12.031000000000001</v>
          </cell>
          <cell r="H113">
            <v>8.0169999999999995</v>
          </cell>
          <cell r="I113">
            <v>3.5999999999999997E-2</v>
          </cell>
          <cell r="J113">
            <v>0.28861199999999998</v>
          </cell>
          <cell r="K113">
            <v>9.8748000000000002E-2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</row>
        <row r="114">
          <cell r="C114" t="str">
            <v>00Q14</v>
          </cell>
          <cell r="D114" t="str">
            <v>00MY REP Cobra Assy Capacit</v>
          </cell>
          <cell r="E114" t="str">
            <v>4.6/5.4/6.8L V Engines - 4V Programs</v>
          </cell>
          <cell r="F114">
            <v>36495</v>
          </cell>
          <cell r="G114">
            <v>1.9530000000000001</v>
          </cell>
          <cell r="H114">
            <v>0.88500000000000001</v>
          </cell>
          <cell r="I114">
            <v>1</v>
          </cell>
          <cell r="J114">
            <v>0.88500000000000001</v>
          </cell>
          <cell r="K114">
            <v>0.88400000000000001</v>
          </cell>
          <cell r="L114">
            <v>1E-3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1E-3</v>
          </cell>
        </row>
        <row r="115">
          <cell r="C115" t="str">
            <v>01P39</v>
          </cell>
          <cell r="D115" t="str">
            <v>4V Head Outsourcing Pgm</v>
          </cell>
          <cell r="E115" t="str">
            <v>4.6/5.4/6.8L V Engines - 4V Programs</v>
          </cell>
          <cell r="F115">
            <v>36831</v>
          </cell>
          <cell r="G115">
            <v>6.5</v>
          </cell>
          <cell r="H115">
            <v>6.5</v>
          </cell>
          <cell r="I115">
            <v>9.5000000000000001E-2</v>
          </cell>
          <cell r="J115">
            <v>0.61750000000000005</v>
          </cell>
          <cell r="K115">
            <v>0</v>
          </cell>
          <cell r="L115">
            <v>0.42749999999999999</v>
          </cell>
          <cell r="M115">
            <v>0.19</v>
          </cell>
          <cell r="N115">
            <v>0</v>
          </cell>
          <cell r="O115">
            <v>0</v>
          </cell>
          <cell r="P115">
            <v>0</v>
          </cell>
          <cell r="Q115">
            <v>0.61750000000000005</v>
          </cell>
        </row>
        <row r="116">
          <cell r="C116" t="str">
            <v>02P16</v>
          </cell>
          <cell r="D116" t="str">
            <v>4.6/5.0/5.4L 4V Upgrade Pgm</v>
          </cell>
          <cell r="E116" t="str">
            <v>4.6/5.4/6.8L V Engines - 4V Programs</v>
          </cell>
          <cell r="F116">
            <v>37104</v>
          </cell>
          <cell r="G116">
            <v>18.059999999999999</v>
          </cell>
          <cell r="H116">
            <v>7.2060000000000004</v>
          </cell>
          <cell r="I116">
            <v>0.3</v>
          </cell>
          <cell r="J116">
            <v>2.1617999999999999</v>
          </cell>
          <cell r="K116">
            <v>3.5099999999999999E-2</v>
          </cell>
          <cell r="L116">
            <v>1.4907000000000001</v>
          </cell>
          <cell r="M116">
            <v>0.63600000000000001</v>
          </cell>
          <cell r="N116">
            <v>0</v>
          </cell>
          <cell r="O116">
            <v>0</v>
          </cell>
          <cell r="P116">
            <v>0</v>
          </cell>
          <cell r="Q116">
            <v>2.1267</v>
          </cell>
        </row>
        <row r="117">
          <cell r="C117" t="str">
            <v>95P51</v>
          </cell>
          <cell r="D117" t="str">
            <v>ROMEO BLOCK CAPACITY</v>
          </cell>
          <cell r="E117" t="str">
            <v>4.6/5.4/6.8L V Engines - All Other</v>
          </cell>
          <cell r="F117">
            <v>34608</v>
          </cell>
          <cell r="G117">
            <v>18.760000000000002</v>
          </cell>
          <cell r="H117">
            <v>16.759</v>
          </cell>
          <cell r="I117">
            <v>1</v>
          </cell>
          <cell r="J117">
            <v>16.759</v>
          </cell>
          <cell r="K117">
            <v>8.9999999999999993E-3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</row>
        <row r="118">
          <cell r="C118" t="str">
            <v>95Y29</v>
          </cell>
          <cell r="D118" t="str">
            <v>4.6L ROMEO EXPANSION</v>
          </cell>
          <cell r="E118" t="str">
            <v>4.6/5.4/6.8L V Engines - All Other</v>
          </cell>
          <cell r="F118">
            <v>34547</v>
          </cell>
          <cell r="G118">
            <v>174.88200000000001</v>
          </cell>
          <cell r="H118">
            <v>145.61699999999999</v>
          </cell>
          <cell r="I118">
            <v>0.69</v>
          </cell>
          <cell r="J118">
            <v>100.47573</v>
          </cell>
          <cell r="K118">
            <v>4.2090000000000002E-2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</row>
        <row r="119">
          <cell r="C119" t="str">
            <v>96Y44</v>
          </cell>
          <cell r="D119" t="str">
            <v>4.6L/5.4L/6.8L CAPACITY</v>
          </cell>
          <cell r="E119" t="str">
            <v>4.6/5.4/6.8L V Engines - All Other</v>
          </cell>
          <cell r="F119">
            <v>34912</v>
          </cell>
          <cell r="G119">
            <v>1373.7370000000001</v>
          </cell>
          <cell r="H119">
            <v>1130.377</v>
          </cell>
          <cell r="I119">
            <v>1</v>
          </cell>
          <cell r="J119">
            <v>1130.3770000000002</v>
          </cell>
          <cell r="K119">
            <v>0.46800000000000003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</row>
        <row r="120">
          <cell r="C120" t="str">
            <v>97P43</v>
          </cell>
          <cell r="D120" t="str">
            <v>4.6/5.4/6.8L 1997 Launch</v>
          </cell>
          <cell r="E120" t="str">
            <v>4.6/5.4/6.8L V Engines - All Other</v>
          </cell>
          <cell r="F120">
            <v>35339</v>
          </cell>
          <cell r="G120">
            <v>10.439</v>
          </cell>
          <cell r="H120">
            <v>9.11</v>
          </cell>
          <cell r="I120">
            <v>0.625</v>
          </cell>
          <cell r="J120">
            <v>5.6937499999999996</v>
          </cell>
          <cell r="K120">
            <v>0.27750000000000002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</row>
        <row r="121">
          <cell r="C121" t="str">
            <v>97P44</v>
          </cell>
          <cell r="D121" t="str">
            <v>5.4L NGV</v>
          </cell>
          <cell r="E121" t="str">
            <v>4.6/5.4/6.8L V Engines - All Other</v>
          </cell>
          <cell r="F121">
            <v>35278</v>
          </cell>
          <cell r="G121">
            <v>15.771000000000001</v>
          </cell>
          <cell r="H121">
            <v>14.237</v>
          </cell>
          <cell r="I121">
            <v>0.625</v>
          </cell>
          <cell r="J121">
            <v>8.8981250000000003</v>
          </cell>
          <cell r="K121">
            <v>9.3749999999999997E-3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</row>
        <row r="122">
          <cell r="C122" t="str">
            <v>99P50</v>
          </cell>
          <cell r="D122" t="str">
            <v>5.4/4.6L 2V MOD V8 PWR IMPRV</v>
          </cell>
          <cell r="E122" t="str">
            <v>4.6/5.4/6.8L V Engines - All Other</v>
          </cell>
          <cell r="F122">
            <v>36008</v>
          </cell>
          <cell r="G122">
            <v>87.649000000000001</v>
          </cell>
          <cell r="H122">
            <v>38.384</v>
          </cell>
          <cell r="I122">
            <v>1</v>
          </cell>
          <cell r="J122">
            <v>38.384000000000007</v>
          </cell>
          <cell r="K122">
            <v>0.20499999999999999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</row>
        <row r="123">
          <cell r="C123" t="str">
            <v>99P51</v>
          </cell>
          <cell r="D123" t="str">
            <v>Low Vol. Line - Mod. Truck Eng</v>
          </cell>
          <cell r="E123" t="str">
            <v>4.6/5.4/6.8L V Engines - All Other</v>
          </cell>
          <cell r="F123">
            <v>36039</v>
          </cell>
          <cell r="G123">
            <v>57.347999999999999</v>
          </cell>
          <cell r="H123">
            <v>52.884</v>
          </cell>
          <cell r="I123">
            <v>0.625</v>
          </cell>
          <cell r="J123">
            <v>33.052500000000002</v>
          </cell>
          <cell r="K123">
            <v>8.5625000000000007E-2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</row>
        <row r="124">
          <cell r="C124" t="str">
            <v>99P54</v>
          </cell>
          <cell r="D124" t="str">
            <v>WINDSOR V8 CAPACITY</v>
          </cell>
          <cell r="E124" t="str">
            <v>4.6/5.4/6.8L V Engines - All Other</v>
          </cell>
          <cell r="F124">
            <v>36251</v>
          </cell>
          <cell r="G124">
            <v>48.816000000000003</v>
          </cell>
          <cell r="H124">
            <v>30.204999999999998</v>
          </cell>
          <cell r="I124">
            <v>0.92900000000000005</v>
          </cell>
          <cell r="J124">
            <v>28.060445000000001</v>
          </cell>
          <cell r="K124">
            <v>1.3907130000000003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</row>
        <row r="125">
          <cell r="C125" t="str">
            <v>00P60</v>
          </cell>
          <cell r="D125" t="str">
            <v>(G)V8/V10 RWD Capacity</v>
          </cell>
          <cell r="E125" t="str">
            <v>4.6/5.4/6.8L V Engines - All Other</v>
          </cell>
          <cell r="F125">
            <v>36739</v>
          </cell>
          <cell r="G125">
            <v>397.83800000000002</v>
          </cell>
          <cell r="H125">
            <v>331.47699999999998</v>
          </cell>
          <cell r="I125">
            <v>0.95</v>
          </cell>
          <cell r="J125">
            <v>314.90315000000004</v>
          </cell>
          <cell r="K125">
            <v>146.60685000000001</v>
          </cell>
          <cell r="L125">
            <v>57.68685</v>
          </cell>
          <cell r="M125">
            <v>2.5821000000000005</v>
          </cell>
          <cell r="N125">
            <v>0</v>
          </cell>
          <cell r="O125">
            <v>0</v>
          </cell>
          <cell r="P125">
            <v>0</v>
          </cell>
          <cell r="Q125">
            <v>60.268950000000011</v>
          </cell>
        </row>
        <row r="126">
          <cell r="C126" t="str">
            <v>00P66</v>
          </cell>
          <cell r="D126" t="str">
            <v>4.6L CI Block Cap Incr(REP)</v>
          </cell>
          <cell r="E126" t="str">
            <v>4.6/5.4/6.8L V Engines - All Other</v>
          </cell>
          <cell r="F126">
            <v>36708</v>
          </cell>
          <cell r="G126">
            <v>9.5020000000000007</v>
          </cell>
          <cell r="H126">
            <v>8.5419999999999998</v>
          </cell>
          <cell r="I126">
            <v>0.60300000000000009</v>
          </cell>
          <cell r="J126">
            <v>5.1508260000000003</v>
          </cell>
          <cell r="K126">
            <v>0.9648000000000001</v>
          </cell>
          <cell r="L126">
            <v>4.186026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4.186026</v>
          </cell>
        </row>
        <row r="127">
          <cell r="C127" t="str">
            <v>00P90</v>
          </cell>
          <cell r="D127" t="str">
            <v>Pwr Imp: Cyl Hd Line @ Windsor</v>
          </cell>
          <cell r="E127" t="str">
            <v>4.6/5.4/6.8L V Engines - All Other</v>
          </cell>
          <cell r="F127">
            <v>36373</v>
          </cell>
          <cell r="G127">
            <v>63.036999999999999</v>
          </cell>
          <cell r="H127">
            <v>15.113</v>
          </cell>
          <cell r="I127">
            <v>1</v>
          </cell>
          <cell r="J127">
            <v>15.113000000000001</v>
          </cell>
          <cell r="K127">
            <v>0.30599999999999999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</row>
        <row r="128">
          <cell r="C128" t="str">
            <v>01P25</v>
          </cell>
          <cell r="D128" t="str">
            <v>4.6L 2V Compression Upgrade</v>
          </cell>
          <cell r="E128" t="str">
            <v>4.6/5.4/6.8L V Engines - All Other</v>
          </cell>
          <cell r="F128">
            <v>37104</v>
          </cell>
          <cell r="G128">
            <v>0.502</v>
          </cell>
          <cell r="H128">
            <v>9.2999999999999999E-2</v>
          </cell>
          <cell r="I128">
            <v>1</v>
          </cell>
          <cell r="J128">
            <v>9.2999999999999999E-2</v>
          </cell>
          <cell r="K128">
            <v>0</v>
          </cell>
          <cell r="L128">
            <v>9.2999999999999999E-2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9.2999999999999999E-2</v>
          </cell>
        </row>
        <row r="129">
          <cell r="C129" t="str">
            <v>01P29</v>
          </cell>
          <cell r="D129" t="str">
            <v>Car/Trk Cap--01MY, REP</v>
          </cell>
          <cell r="E129" t="str">
            <v>4.6/5.4/6.8L V Engines - All Other</v>
          </cell>
          <cell r="F129">
            <v>37012</v>
          </cell>
          <cell r="G129">
            <v>121.759</v>
          </cell>
          <cell r="H129">
            <v>109.425</v>
          </cell>
          <cell r="I129">
            <v>0.72799999999999998</v>
          </cell>
          <cell r="J129">
            <v>79.6614</v>
          </cell>
          <cell r="K129">
            <v>11.559912000000001</v>
          </cell>
          <cell r="L129">
            <v>44.441119999999998</v>
          </cell>
          <cell r="M129">
            <v>6.6603679999999983</v>
          </cell>
          <cell r="N129">
            <v>0</v>
          </cell>
          <cell r="O129">
            <v>0</v>
          </cell>
          <cell r="P129">
            <v>0</v>
          </cell>
          <cell r="Q129">
            <v>68.101488000000003</v>
          </cell>
        </row>
        <row r="130">
          <cell r="C130" t="str">
            <v>01P30</v>
          </cell>
          <cell r="D130" t="str">
            <v>(G) Romeo 100% Power Improv</v>
          </cell>
          <cell r="E130" t="str">
            <v>4.6/5.4/6.8L V Engines - All Other</v>
          </cell>
          <cell r="F130">
            <v>36784</v>
          </cell>
          <cell r="G130">
            <v>72.873999999999995</v>
          </cell>
          <cell r="H130">
            <v>28.6</v>
          </cell>
          <cell r="I130">
            <v>0.72799999999999998</v>
          </cell>
          <cell r="J130">
            <v>20.820800000000002</v>
          </cell>
          <cell r="K130">
            <v>6.1501440000000001</v>
          </cell>
          <cell r="L130">
            <v>11.696048000000001</v>
          </cell>
          <cell r="M130">
            <v>2.2058400000000002</v>
          </cell>
          <cell r="N130">
            <v>0</v>
          </cell>
          <cell r="O130">
            <v>0</v>
          </cell>
          <cell r="P130">
            <v>0</v>
          </cell>
          <cell r="Q130">
            <v>13.901888</v>
          </cell>
        </row>
        <row r="131">
          <cell r="C131" t="str">
            <v>01P31</v>
          </cell>
          <cell r="D131" t="str">
            <v>(G) Romeo Low Vol. Asy Line</v>
          </cell>
          <cell r="E131" t="str">
            <v>4.6/5.4/6.8L V Engines - All Other</v>
          </cell>
          <cell r="F131">
            <v>36739</v>
          </cell>
          <cell r="G131">
            <v>75.73</v>
          </cell>
          <cell r="H131">
            <v>65.162000000000006</v>
          </cell>
          <cell r="I131">
            <v>0.62399999999999989</v>
          </cell>
          <cell r="J131">
            <v>40.661087999999999</v>
          </cell>
          <cell r="K131">
            <v>26.343408</v>
          </cell>
          <cell r="L131">
            <v>4.465344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4.465344</v>
          </cell>
        </row>
        <row r="132">
          <cell r="C132" t="str">
            <v>02P28</v>
          </cell>
          <cell r="D132" t="str">
            <v>Car/Trk Cap--02MY, WEP (5.4L)</v>
          </cell>
          <cell r="E132" t="str">
            <v>4.6/5.4/6.8L V Engines - All Other</v>
          </cell>
          <cell r="F132">
            <v>37196</v>
          </cell>
          <cell r="G132">
            <v>38.966999999999999</v>
          </cell>
          <cell r="H132">
            <v>30.559000000000001</v>
          </cell>
          <cell r="I132">
            <v>0.96899999999999997</v>
          </cell>
          <cell r="J132">
            <v>29.611671000000001</v>
          </cell>
          <cell r="K132">
            <v>0.43023600000000001</v>
          </cell>
          <cell r="L132">
            <v>17.619327000000002</v>
          </cell>
          <cell r="M132">
            <v>11.556294000000001</v>
          </cell>
          <cell r="N132">
            <v>5.8140000000000006E-3</v>
          </cell>
          <cell r="O132">
            <v>0</v>
          </cell>
          <cell r="P132">
            <v>0</v>
          </cell>
          <cell r="Q132">
            <v>29.181434999999997</v>
          </cell>
        </row>
        <row r="133">
          <cell r="C133" t="str">
            <v>03P11</v>
          </cell>
          <cell r="D133" t="str">
            <v>Al Block Cap Incr at REP</v>
          </cell>
          <cell r="E133" t="str">
            <v>4.6/5.4/6.8L V Engines - All Other</v>
          </cell>
          <cell r="F133">
            <v>37469</v>
          </cell>
          <cell r="G133">
            <v>255.21199999999999</v>
          </cell>
          <cell r="H133">
            <v>207.44200000000001</v>
          </cell>
          <cell r="I133">
            <v>0.71</v>
          </cell>
          <cell r="J133">
            <v>147.28381999999999</v>
          </cell>
          <cell r="K133">
            <v>4.2784599999999999</v>
          </cell>
          <cell r="L133">
            <v>60.598500000000001</v>
          </cell>
          <cell r="M133">
            <v>66.372219999999999</v>
          </cell>
          <cell r="N133">
            <v>16.03464</v>
          </cell>
          <cell r="O133">
            <v>0</v>
          </cell>
          <cell r="P133">
            <v>0</v>
          </cell>
          <cell r="Q133">
            <v>143.00536000000002</v>
          </cell>
        </row>
        <row r="134">
          <cell r="C134" t="str">
            <v>97Q86</v>
          </cell>
          <cell r="D134" t="str">
            <v>97.5 4R70W CAPACITY EXPANSION</v>
          </cell>
          <cell r="E134" t="str">
            <v>4R Transmission</v>
          </cell>
          <cell r="F134">
            <v>35431</v>
          </cell>
          <cell r="G134">
            <v>149.53100000000001</v>
          </cell>
          <cell r="H134">
            <v>131.642</v>
          </cell>
          <cell r="I134">
            <v>1</v>
          </cell>
          <cell r="J134">
            <v>131.642</v>
          </cell>
          <cell r="K134">
            <v>0.40400000000000003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</row>
        <row r="135">
          <cell r="C135" t="str">
            <v>98P85</v>
          </cell>
          <cell r="D135" t="str">
            <v>4R70W QUALITY UPGRADE</v>
          </cell>
          <cell r="E135" t="str">
            <v>4R Transmission</v>
          </cell>
          <cell r="F135">
            <v>35643</v>
          </cell>
          <cell r="G135">
            <v>4.1189999999999998</v>
          </cell>
          <cell r="H135">
            <v>3.5379999999999998</v>
          </cell>
          <cell r="I135">
            <v>0.78900000000000015</v>
          </cell>
          <cell r="J135">
            <v>2.7914820000000002</v>
          </cell>
          <cell r="K135">
            <v>1.1046E-2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</row>
        <row r="136">
          <cell r="C136" t="str">
            <v>98Q52</v>
          </cell>
          <cell r="D136" t="str">
            <v>4R100 Cap.  &amp; Cologne Forge</v>
          </cell>
          <cell r="E136" t="str">
            <v>4R Transmission</v>
          </cell>
          <cell r="F136">
            <v>35835</v>
          </cell>
          <cell r="G136">
            <v>5.1120000000000001</v>
          </cell>
          <cell r="H136">
            <v>4.8609999999999998</v>
          </cell>
          <cell r="I136">
            <v>0.86</v>
          </cell>
          <cell r="J136">
            <v>4.1804600000000001</v>
          </cell>
          <cell r="K136">
            <v>8.6E-3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</row>
        <row r="137">
          <cell r="C137" t="str">
            <v>00P80</v>
          </cell>
          <cell r="D137" t="str">
            <v>(G)4R100 (E4OD) 45K Cap Inc</v>
          </cell>
          <cell r="E137" t="str">
            <v>4R Transmission</v>
          </cell>
          <cell r="F137">
            <v>36526</v>
          </cell>
          <cell r="G137">
            <v>58.19</v>
          </cell>
          <cell r="H137">
            <v>49.603000000000002</v>
          </cell>
          <cell r="I137">
            <v>0.95899999999999996</v>
          </cell>
          <cell r="J137">
            <v>47.569277</v>
          </cell>
          <cell r="K137">
            <v>21.693539000000001</v>
          </cell>
          <cell r="L137">
            <v>4.5734710000000005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4.5734710000000005</v>
          </cell>
        </row>
        <row r="138">
          <cell r="C138" t="str">
            <v>00Q08</v>
          </cell>
          <cell r="D138" t="str">
            <v>4R70W Capacity</v>
          </cell>
          <cell r="E138" t="str">
            <v>4R Transmission</v>
          </cell>
          <cell r="F138">
            <v>36891</v>
          </cell>
          <cell r="G138">
            <v>22.513999999999999</v>
          </cell>
          <cell r="H138">
            <v>10.221</v>
          </cell>
          <cell r="I138">
            <v>1</v>
          </cell>
          <cell r="J138">
            <v>10.221</v>
          </cell>
          <cell r="K138">
            <v>7.758</v>
          </cell>
          <cell r="L138">
            <v>2.4300000000000002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2.4300000000000002</v>
          </cell>
        </row>
        <row r="139">
          <cell r="C139" t="str">
            <v>02P29</v>
          </cell>
          <cell r="D139" t="str">
            <v>Car/Trk Cap--02MY 4R70W</v>
          </cell>
          <cell r="E139" t="str">
            <v>4R Transmission</v>
          </cell>
          <cell r="F139">
            <v>37138</v>
          </cell>
          <cell r="G139">
            <v>181.601</v>
          </cell>
          <cell r="H139">
            <v>151.93799999999999</v>
          </cell>
          <cell r="I139">
            <v>0.81</v>
          </cell>
          <cell r="J139">
            <v>123.06977999999999</v>
          </cell>
          <cell r="K139">
            <v>1.8281700000000001</v>
          </cell>
          <cell r="L139">
            <v>101.63475000000001</v>
          </cell>
          <cell r="M139">
            <v>19.606860000000001</v>
          </cell>
          <cell r="N139">
            <v>0</v>
          </cell>
          <cell r="O139">
            <v>0</v>
          </cell>
          <cell r="P139">
            <v>0</v>
          </cell>
          <cell r="Q139">
            <v>121.24161000000001</v>
          </cell>
        </row>
        <row r="140">
          <cell r="C140" t="str">
            <v>02P80</v>
          </cell>
          <cell r="D140" t="str">
            <v>4R100 (E4OD) Capac. Phase II</v>
          </cell>
          <cell r="E140" t="str">
            <v>4R Transmission</v>
          </cell>
          <cell r="F140">
            <v>37073</v>
          </cell>
          <cell r="G140">
            <v>25.773</v>
          </cell>
          <cell r="H140">
            <v>7.83</v>
          </cell>
          <cell r="I140">
            <v>0.95899999999999996</v>
          </cell>
          <cell r="J140">
            <v>7.5089699999999997</v>
          </cell>
          <cell r="K140">
            <v>1.3128709999999999</v>
          </cell>
          <cell r="L140">
            <v>6.0915679999999996</v>
          </cell>
          <cell r="M140">
            <v>0.104531</v>
          </cell>
          <cell r="N140">
            <v>0</v>
          </cell>
          <cell r="O140">
            <v>0</v>
          </cell>
          <cell r="P140">
            <v>0</v>
          </cell>
          <cell r="Q140">
            <v>6.1960989999999994</v>
          </cell>
        </row>
        <row r="141">
          <cell r="C141" t="str">
            <v>03P18</v>
          </cell>
          <cell r="D141" t="str">
            <v>4R70W/4R75W TORQ UPGRADES</v>
          </cell>
          <cell r="E141" t="str">
            <v>4R Transmission</v>
          </cell>
          <cell r="F141">
            <v>37773</v>
          </cell>
          <cell r="G141">
            <v>47.256999999999998</v>
          </cell>
          <cell r="H141">
            <v>27.603999999999999</v>
          </cell>
          <cell r="I141">
            <v>0.81</v>
          </cell>
          <cell r="J141">
            <v>22.35924</v>
          </cell>
          <cell r="K141">
            <v>0</v>
          </cell>
          <cell r="L141">
            <v>1.7811900000000003</v>
          </cell>
          <cell r="M141">
            <v>12.73563</v>
          </cell>
          <cell r="N141">
            <v>7.8424200000000006</v>
          </cell>
          <cell r="O141">
            <v>0</v>
          </cell>
          <cell r="P141">
            <v>0</v>
          </cell>
          <cell r="Q141">
            <v>22.35924</v>
          </cell>
        </row>
        <row r="142">
          <cell r="C142" t="str">
            <v>03P13</v>
          </cell>
          <cell r="D142" t="str">
            <v>5R110W Vehicle Related</v>
          </cell>
          <cell r="E142" t="str">
            <v>5R110W Transmission</v>
          </cell>
          <cell r="F142">
            <v>37469</v>
          </cell>
          <cell r="G142">
            <v>19</v>
          </cell>
          <cell r="H142">
            <v>4.2210000000000001</v>
          </cell>
          <cell r="I142">
            <v>1</v>
          </cell>
          <cell r="J142">
            <v>4.2210000000000001</v>
          </cell>
          <cell r="K142">
            <v>0</v>
          </cell>
          <cell r="L142">
            <v>0.40100000000000002</v>
          </cell>
          <cell r="M142">
            <v>3.2010000000000001</v>
          </cell>
          <cell r="N142">
            <v>0.61899999999999999</v>
          </cell>
          <cell r="O142">
            <v>0</v>
          </cell>
          <cell r="P142">
            <v>0</v>
          </cell>
          <cell r="Q142">
            <v>4.2210000000000001</v>
          </cell>
        </row>
        <row r="143">
          <cell r="C143" t="str">
            <v>04P14</v>
          </cell>
          <cell r="D143" t="str">
            <v>5R110W (P131/U137/V127/H215</v>
          </cell>
          <cell r="E143" t="str">
            <v>5R110W Transmission</v>
          </cell>
          <cell r="F143">
            <v>37834</v>
          </cell>
          <cell r="G143">
            <v>212.2</v>
          </cell>
          <cell r="H143">
            <v>159.73500000000001</v>
          </cell>
          <cell r="I143">
            <v>0.93399999999999983</v>
          </cell>
          <cell r="J143">
            <v>149.19248999999999</v>
          </cell>
          <cell r="K143">
            <v>4.6699999999999997E-3</v>
          </cell>
          <cell r="L143">
            <v>49.190044</v>
          </cell>
          <cell r="M143">
            <v>53.881525999999994</v>
          </cell>
          <cell r="N143">
            <v>40.474890000000002</v>
          </cell>
          <cell r="O143">
            <v>5.6413599999999997</v>
          </cell>
          <cell r="P143">
            <v>0</v>
          </cell>
          <cell r="Q143">
            <v>149.18782000000002</v>
          </cell>
        </row>
        <row r="144">
          <cell r="C144" t="str">
            <v>01P66</v>
          </cell>
          <cell r="D144" t="str">
            <v>5R55E Cap Expansion at BTP</v>
          </cell>
          <cell r="E144" t="str">
            <v>5R55 Transmission</v>
          </cell>
          <cell r="F144">
            <v>36951</v>
          </cell>
          <cell r="G144">
            <v>8.2530000000000001</v>
          </cell>
          <cell r="H144">
            <v>7.66</v>
          </cell>
          <cell r="I144">
            <v>1</v>
          </cell>
          <cell r="J144">
            <v>7.66</v>
          </cell>
          <cell r="K144">
            <v>0.96399999999999997</v>
          </cell>
          <cell r="L144">
            <v>5.7930000000000001</v>
          </cell>
          <cell r="M144">
            <v>0.85799999999999998</v>
          </cell>
          <cell r="N144">
            <v>4.4999999999999998E-2</v>
          </cell>
          <cell r="O144">
            <v>0</v>
          </cell>
          <cell r="P144">
            <v>0</v>
          </cell>
          <cell r="Q144">
            <v>6.6959999999999997</v>
          </cell>
        </row>
        <row r="145">
          <cell r="C145" t="str">
            <v>01P86</v>
          </cell>
          <cell r="D145" t="str">
            <v>5R55W-TOOL (99F81,97Q86)</v>
          </cell>
          <cell r="E145" t="str">
            <v>5R55 Transmission</v>
          </cell>
          <cell r="F145">
            <v>36731</v>
          </cell>
          <cell r="G145">
            <v>268.52699999999999</v>
          </cell>
          <cell r="H145">
            <v>217.69900000000001</v>
          </cell>
          <cell r="I145">
            <v>0.92100000000000004</v>
          </cell>
          <cell r="J145">
            <v>200.50077900000002</v>
          </cell>
          <cell r="K145">
            <v>45.184260000000002</v>
          </cell>
          <cell r="L145">
            <v>42.514281000000004</v>
          </cell>
          <cell r="M145">
            <v>8.6481899999999996</v>
          </cell>
          <cell r="N145">
            <v>1.2230880000000002</v>
          </cell>
          <cell r="O145">
            <v>0</v>
          </cell>
          <cell r="P145">
            <v>0</v>
          </cell>
          <cell r="Q145">
            <v>52.385559000000001</v>
          </cell>
        </row>
        <row r="146">
          <cell r="C146" t="str">
            <v>01S27</v>
          </cell>
          <cell r="D146" t="str">
            <v>5R55E Trans @ Bordeaux</v>
          </cell>
          <cell r="E146" t="str">
            <v>5R55 Transmission</v>
          </cell>
          <cell r="F146">
            <v>36739</v>
          </cell>
          <cell r="G146">
            <v>0.90400000000000003</v>
          </cell>
          <cell r="H146">
            <v>0.67100000000000004</v>
          </cell>
          <cell r="I146">
            <v>1</v>
          </cell>
          <cell r="J146">
            <v>0.67100000000000004</v>
          </cell>
          <cell r="K146">
            <v>0.35599999999999998</v>
          </cell>
          <cell r="L146">
            <v>4.3999999999999997E-2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4.3999999999999997E-2</v>
          </cell>
        </row>
        <row r="147">
          <cell r="C147" t="str">
            <v>02F81</v>
          </cell>
          <cell r="D147" t="str">
            <v>5R55N Shipping Racks</v>
          </cell>
          <cell r="E147" t="str">
            <v>5R55 Transmission</v>
          </cell>
          <cell r="F147">
            <v>37104</v>
          </cell>
          <cell r="G147">
            <v>0.46500000000000002</v>
          </cell>
          <cell r="H147">
            <v>0.46500000000000002</v>
          </cell>
          <cell r="I147">
            <v>0.629</v>
          </cell>
          <cell r="J147">
            <v>0.29248499999999999</v>
          </cell>
          <cell r="K147">
            <v>0</v>
          </cell>
          <cell r="L147">
            <v>0.11888100000000001</v>
          </cell>
          <cell r="M147">
            <v>0.16228200000000001</v>
          </cell>
          <cell r="N147">
            <v>1.1322E-2</v>
          </cell>
          <cell r="O147">
            <v>0</v>
          </cell>
          <cell r="P147">
            <v>0</v>
          </cell>
          <cell r="Q147">
            <v>0.29248500000000005</v>
          </cell>
        </row>
        <row r="148">
          <cell r="C148" t="str">
            <v>02P02</v>
          </cell>
          <cell r="D148" t="str">
            <v>5R55S-Revise O/D Gear - FE</v>
          </cell>
          <cell r="E148" t="str">
            <v>5R55 Transmission</v>
          </cell>
          <cell r="F148">
            <v>37104</v>
          </cell>
          <cell r="G148">
            <v>30.204000000000001</v>
          </cell>
          <cell r="H148">
            <v>19.503</v>
          </cell>
          <cell r="I148">
            <v>0.85299999999999976</v>
          </cell>
          <cell r="J148">
            <v>16.636058999999996</v>
          </cell>
          <cell r="K148">
            <v>3.3147580000000003</v>
          </cell>
          <cell r="L148">
            <v>13.067959999999999</v>
          </cell>
          <cell r="M148">
            <v>0</v>
          </cell>
          <cell r="N148">
            <v>0.24651700000000001</v>
          </cell>
          <cell r="O148">
            <v>0</v>
          </cell>
          <cell r="P148">
            <v>0</v>
          </cell>
          <cell r="Q148">
            <v>13.314477</v>
          </cell>
        </row>
        <row r="149">
          <cell r="C149" t="str">
            <v>02P65</v>
          </cell>
          <cell r="D149" t="str">
            <v>Bordeaux Cap Expansion</v>
          </cell>
          <cell r="E149" t="str">
            <v>5R55 Transmission</v>
          </cell>
          <cell r="F149">
            <v>37104</v>
          </cell>
          <cell r="G149">
            <v>15.201000000000001</v>
          </cell>
          <cell r="H149">
            <v>13.840999999999999</v>
          </cell>
          <cell r="I149">
            <v>1</v>
          </cell>
          <cell r="J149">
            <v>13.841000000000001</v>
          </cell>
          <cell r="K149">
            <v>0.34300000000000003</v>
          </cell>
          <cell r="L149">
            <v>10.621</v>
          </cell>
          <cell r="M149">
            <v>2.5579999999999998</v>
          </cell>
          <cell r="N149">
            <v>0.31900000000000001</v>
          </cell>
          <cell r="O149">
            <v>0</v>
          </cell>
          <cell r="P149">
            <v>0</v>
          </cell>
          <cell r="Q149">
            <v>13.498000000000001</v>
          </cell>
        </row>
        <row r="150">
          <cell r="C150" t="str">
            <v>03P24</v>
          </cell>
          <cell r="D150" t="str">
            <v>5R55S Program-Cost Reductions</v>
          </cell>
          <cell r="E150" t="str">
            <v>5R55 Transmission</v>
          </cell>
          <cell r="F150">
            <v>37469</v>
          </cell>
          <cell r="G150">
            <v>7.7240000000000002</v>
          </cell>
          <cell r="H150">
            <v>3.4630000000000001</v>
          </cell>
          <cell r="I150">
            <v>0.629</v>
          </cell>
          <cell r="J150">
            <v>2.1782270000000001</v>
          </cell>
          <cell r="K150">
            <v>0.73341400000000001</v>
          </cell>
          <cell r="L150">
            <v>1.003884</v>
          </cell>
          <cell r="M150">
            <v>0.35412699999999997</v>
          </cell>
          <cell r="N150">
            <v>6.3529000000000002E-2</v>
          </cell>
          <cell r="O150">
            <v>2.3273000000000002E-2</v>
          </cell>
          <cell r="P150">
            <v>0</v>
          </cell>
          <cell r="Q150">
            <v>1.4448129999999999</v>
          </cell>
        </row>
        <row r="151">
          <cell r="C151" t="str">
            <v>03P29</v>
          </cell>
          <cell r="D151" t="str">
            <v>Car/Trk Cap--03MY 5R55</v>
          </cell>
          <cell r="E151" t="str">
            <v>5R55 Transmission</v>
          </cell>
          <cell r="F151">
            <v>37469</v>
          </cell>
          <cell r="G151">
            <v>7.6</v>
          </cell>
          <cell r="H151">
            <v>5.45</v>
          </cell>
          <cell r="I151">
            <v>1</v>
          </cell>
          <cell r="J151">
            <v>5.45</v>
          </cell>
          <cell r="K151">
            <v>6.0999999999999999E-2</v>
          </cell>
          <cell r="L151">
            <v>0</v>
          </cell>
          <cell r="M151">
            <v>3.6770000000000005</v>
          </cell>
          <cell r="N151">
            <v>1.712</v>
          </cell>
          <cell r="O151">
            <v>0</v>
          </cell>
          <cell r="P151">
            <v>0</v>
          </cell>
          <cell r="Q151">
            <v>5.3890000000000002</v>
          </cell>
        </row>
        <row r="152">
          <cell r="C152" t="str">
            <v>05P03</v>
          </cell>
          <cell r="D152" t="str">
            <v>6R A/T -- Line 1</v>
          </cell>
          <cell r="E152" t="str">
            <v>6R Transmission</v>
          </cell>
          <cell r="F152">
            <v>38200</v>
          </cell>
          <cell r="G152">
            <v>471.51</v>
          </cell>
          <cell r="H152">
            <v>353.91</v>
          </cell>
          <cell r="I152">
            <v>0.88</v>
          </cell>
          <cell r="J152">
            <v>311.44079999999997</v>
          </cell>
          <cell r="K152">
            <v>0</v>
          </cell>
          <cell r="L152">
            <v>0</v>
          </cell>
          <cell r="M152">
            <v>44.968000000000004</v>
          </cell>
          <cell r="N152">
            <v>64.591999999999999</v>
          </cell>
          <cell r="O152">
            <v>161.392</v>
          </cell>
          <cell r="P152">
            <v>40.488799999999998</v>
          </cell>
          <cell r="Q152">
            <v>311.44079999999997</v>
          </cell>
        </row>
        <row r="153">
          <cell r="C153" t="str">
            <v>06P03</v>
          </cell>
          <cell r="D153" t="str">
            <v>6R A/T -- Line 2</v>
          </cell>
          <cell r="E153" t="str">
            <v>6R Transmission</v>
          </cell>
          <cell r="F153">
            <v>38384</v>
          </cell>
          <cell r="G153">
            <v>408.4</v>
          </cell>
          <cell r="H153">
            <v>300.3</v>
          </cell>
          <cell r="I153">
            <v>0.92899999999999994</v>
          </cell>
          <cell r="J153">
            <v>278.9787</v>
          </cell>
          <cell r="K153">
            <v>0</v>
          </cell>
          <cell r="L153">
            <v>0</v>
          </cell>
          <cell r="M153">
            <v>0</v>
          </cell>
          <cell r="N153">
            <v>12.895448999999999</v>
          </cell>
          <cell r="O153">
            <v>139.062939</v>
          </cell>
          <cell r="P153">
            <v>105.70533600000002</v>
          </cell>
          <cell r="Q153">
            <v>257.663724</v>
          </cell>
        </row>
        <row r="154">
          <cell r="C154" t="str">
            <v>07P03</v>
          </cell>
          <cell r="D154" t="str">
            <v>6R A/T -- Line 3</v>
          </cell>
          <cell r="E154" t="str">
            <v>6R Transmission</v>
          </cell>
          <cell r="F154">
            <v>38930</v>
          </cell>
          <cell r="G154">
            <v>319.7</v>
          </cell>
          <cell r="H154">
            <v>264</v>
          </cell>
          <cell r="I154">
            <v>0.91800000000000015</v>
          </cell>
          <cell r="J154">
            <v>242.35200000000003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43.133147999999998</v>
          </cell>
          <cell r="Q154">
            <v>43.133147999999998</v>
          </cell>
        </row>
        <row r="155">
          <cell r="C155" t="str">
            <v>08P01</v>
          </cell>
          <cell r="D155" t="str">
            <v>6R A/T -- Line 4</v>
          </cell>
          <cell r="E155" t="str">
            <v>6R Transmission</v>
          </cell>
          <cell r="F155">
            <v>39295</v>
          </cell>
          <cell r="G155">
            <v>450</v>
          </cell>
          <cell r="H155">
            <v>389.16</v>
          </cell>
          <cell r="I155">
            <v>0.77</v>
          </cell>
          <cell r="J155">
            <v>299.65319999999997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</row>
        <row r="156">
          <cell r="C156" t="str">
            <v>08P02</v>
          </cell>
          <cell r="D156" t="str">
            <v>6R A/T -- Line 5</v>
          </cell>
          <cell r="E156" t="str">
            <v>6R Transmission</v>
          </cell>
          <cell r="F156">
            <v>39448</v>
          </cell>
          <cell r="G156">
            <v>500</v>
          </cell>
          <cell r="H156">
            <v>432.4</v>
          </cell>
          <cell r="I156">
            <v>0.23600000000000002</v>
          </cell>
          <cell r="J156">
            <v>102.04640000000001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</row>
        <row r="157">
          <cell r="C157" t="str">
            <v>10P01</v>
          </cell>
          <cell r="D157" t="str">
            <v>6R A/T -- Line 6</v>
          </cell>
          <cell r="E157" t="str">
            <v>6R Transmission</v>
          </cell>
          <cell r="F157">
            <v>40179</v>
          </cell>
          <cell r="G157">
            <v>475</v>
          </cell>
          <cell r="H157">
            <v>410.78</v>
          </cell>
          <cell r="I157">
            <v>1</v>
          </cell>
          <cell r="J157">
            <v>410.78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</row>
        <row r="158">
          <cell r="C158" t="str">
            <v>99O18</v>
          </cell>
          <cell r="D158" t="str">
            <v>Dearborn Paint Shop - New</v>
          </cell>
          <cell r="E158" t="str">
            <v>Accruals &amp; Other</v>
          </cell>
          <cell r="F158">
            <v>36373</v>
          </cell>
          <cell r="G158">
            <v>254.14099999999999</v>
          </cell>
          <cell r="H158">
            <v>242.63800000000001</v>
          </cell>
          <cell r="I158">
            <v>1</v>
          </cell>
          <cell r="J158">
            <v>242.63800000000001</v>
          </cell>
          <cell r="K158">
            <v>4.3330000000000002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5</v>
          </cell>
        </row>
        <row r="159">
          <cell r="C159" t="str">
            <v>99Q06</v>
          </cell>
          <cell r="D159" t="str">
            <v>99 Req't Study-V.O.</v>
          </cell>
          <cell r="E159" t="str">
            <v>Accruals &amp; Other</v>
          </cell>
          <cell r="F159">
            <v>36161</v>
          </cell>
          <cell r="G159">
            <v>1.6379999999999999</v>
          </cell>
          <cell r="H159">
            <v>0.96499999999999997</v>
          </cell>
          <cell r="I159">
            <v>0.85599999999999998</v>
          </cell>
          <cell r="J159">
            <v>0.82604</v>
          </cell>
          <cell r="K159">
            <v>0.10785600000000001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</row>
        <row r="160">
          <cell r="C160" t="str">
            <v>99S35</v>
          </cell>
          <cell r="D160" t="str">
            <v>FCSD Funded Product Spend</v>
          </cell>
          <cell r="E160" t="str">
            <v>Accruals &amp; Other</v>
          </cell>
          <cell r="F160">
            <v>36161</v>
          </cell>
          <cell r="G160">
            <v>9.782</v>
          </cell>
          <cell r="H160">
            <v>9.4540000000000006</v>
          </cell>
          <cell r="I160">
            <v>0.02</v>
          </cell>
          <cell r="J160">
            <v>0.18908</v>
          </cell>
          <cell r="K160">
            <v>5.8520000000000003E-2</v>
          </cell>
          <cell r="L160">
            <v>3.4000000000000002E-2</v>
          </cell>
          <cell r="M160">
            <v>5.6000000000000001E-2</v>
          </cell>
          <cell r="N160">
            <v>0</v>
          </cell>
          <cell r="O160">
            <v>0</v>
          </cell>
          <cell r="P160">
            <v>0</v>
          </cell>
          <cell r="Q160">
            <v>0.09</v>
          </cell>
        </row>
        <row r="161">
          <cell r="C161" t="str">
            <v>00O20</v>
          </cell>
          <cell r="D161" t="str">
            <v>Eco M Bell Paint-NA</v>
          </cell>
          <cell r="E161" t="str">
            <v>Accruals &amp; Other</v>
          </cell>
          <cell r="F161">
            <v>36892</v>
          </cell>
          <cell r="G161">
            <v>15.689</v>
          </cell>
          <cell r="H161">
            <v>14.036</v>
          </cell>
          <cell r="I161">
            <v>1</v>
          </cell>
          <cell r="J161">
            <v>14.036</v>
          </cell>
          <cell r="K161">
            <v>8.5950000000000006</v>
          </cell>
          <cell r="L161">
            <v>5.4409999999999998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5.4409999999999998</v>
          </cell>
        </row>
        <row r="162">
          <cell r="C162" t="str">
            <v>00Q05</v>
          </cell>
          <cell r="D162" t="str">
            <v>00 Req't Study - Prod Purch</v>
          </cell>
          <cell r="E162" t="str">
            <v>Accruals &amp; Other</v>
          </cell>
          <cell r="F162">
            <v>36708</v>
          </cell>
          <cell r="G162">
            <v>20.393999999999998</v>
          </cell>
          <cell r="H162">
            <v>20.393999999999998</v>
          </cell>
          <cell r="I162">
            <v>0.85700000000000021</v>
          </cell>
          <cell r="J162">
            <v>17.477658000000002</v>
          </cell>
          <cell r="K162">
            <v>9.0113550000000018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</row>
        <row r="163">
          <cell r="C163" t="str">
            <v>00Q06</v>
          </cell>
          <cell r="D163" t="str">
            <v>00 Req't Study - VO</v>
          </cell>
          <cell r="E163" t="str">
            <v>Accruals &amp; Other</v>
          </cell>
          <cell r="F163">
            <v>36708</v>
          </cell>
          <cell r="G163">
            <v>4.335</v>
          </cell>
          <cell r="H163">
            <v>2.262</v>
          </cell>
          <cell r="I163">
            <v>0.85699999999999998</v>
          </cell>
          <cell r="J163">
            <v>1.938534</v>
          </cell>
          <cell r="K163">
            <v>1.6531530000000001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</row>
        <row r="164">
          <cell r="C164" t="str">
            <v>01Q05</v>
          </cell>
          <cell r="D164" t="str">
            <v>Req't Study - Approved Prov</v>
          </cell>
          <cell r="E164" t="str">
            <v>Accruals &amp; Other</v>
          </cell>
          <cell r="F164">
            <v>36861</v>
          </cell>
          <cell r="G164">
            <v>3.585</v>
          </cell>
          <cell r="H164">
            <v>3.585</v>
          </cell>
          <cell r="I164">
            <v>0.85417768479776846</v>
          </cell>
          <cell r="J164">
            <v>3.062227</v>
          </cell>
          <cell r="K164">
            <v>1.2232160000000001</v>
          </cell>
          <cell r="L164">
            <v>1.839011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1.839011</v>
          </cell>
        </row>
        <row r="165">
          <cell r="C165" t="str">
            <v>01Q06</v>
          </cell>
          <cell r="D165" t="str">
            <v>01 Req't Study - VO</v>
          </cell>
          <cell r="E165" t="str">
            <v>Accruals &amp; Other</v>
          </cell>
          <cell r="F165">
            <v>37073</v>
          </cell>
          <cell r="G165">
            <v>33.819000000000003</v>
          </cell>
          <cell r="H165">
            <v>30.558</v>
          </cell>
          <cell r="I165">
            <v>0.8640000000000001</v>
          </cell>
          <cell r="J165">
            <v>26.402112000000002</v>
          </cell>
          <cell r="K165">
            <v>14.834880000000002</v>
          </cell>
          <cell r="L165">
            <v>11.547360000000001</v>
          </cell>
          <cell r="M165">
            <v>1.9872000000000001E-2</v>
          </cell>
          <cell r="N165">
            <v>0</v>
          </cell>
          <cell r="O165">
            <v>0</v>
          </cell>
          <cell r="P165">
            <v>0</v>
          </cell>
          <cell r="Q165">
            <v>11.567232000000001</v>
          </cell>
        </row>
        <row r="166">
          <cell r="C166" t="str">
            <v>01S09</v>
          </cell>
          <cell r="D166" t="str">
            <v>Project Scarlet (EU)</v>
          </cell>
          <cell r="E166" t="str">
            <v>Accruals &amp; Other</v>
          </cell>
          <cell r="F166">
            <v>36892</v>
          </cell>
          <cell r="G166">
            <v>-131.19999999999999</v>
          </cell>
          <cell r="H166">
            <v>-131.19999999999999</v>
          </cell>
          <cell r="I166">
            <v>3.5650914634146345E-2</v>
          </cell>
          <cell r="J166">
            <v>-4.6774000000000004</v>
          </cell>
          <cell r="K166">
            <v>0</v>
          </cell>
          <cell r="L166">
            <v>0</v>
          </cell>
          <cell r="M166">
            <v>-0.59760000000000002</v>
          </cell>
          <cell r="N166">
            <v>-3.6960000000000002</v>
          </cell>
          <cell r="O166">
            <v>-0.38380000000000003</v>
          </cell>
          <cell r="P166">
            <v>0</v>
          </cell>
          <cell r="Q166">
            <v>-4.6774000000000004</v>
          </cell>
        </row>
        <row r="167">
          <cell r="C167" t="str">
            <v>01Z08</v>
          </cell>
          <cell r="D167" t="str">
            <v>P131/U137 ILVS @ KTP</v>
          </cell>
          <cell r="E167" t="str">
            <v>Accruals &amp; Other</v>
          </cell>
          <cell r="F167">
            <v>36739</v>
          </cell>
          <cell r="G167">
            <v>9.3000000000000007</v>
          </cell>
          <cell r="H167">
            <v>7.92</v>
          </cell>
          <cell r="I167">
            <v>1</v>
          </cell>
          <cell r="J167">
            <v>7.92</v>
          </cell>
          <cell r="K167">
            <v>7.92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</row>
        <row r="168">
          <cell r="C168" t="str">
            <v>AAO20</v>
          </cell>
          <cell r="D168" t="str">
            <v>Spirit of Ford Building</v>
          </cell>
          <cell r="E168" t="str">
            <v>Accruals &amp; Other</v>
          </cell>
          <cell r="F168">
            <v>37226</v>
          </cell>
          <cell r="G168">
            <v>10</v>
          </cell>
          <cell r="H168">
            <v>10</v>
          </cell>
          <cell r="I168">
            <v>0.85799999999999998</v>
          </cell>
          <cell r="J168">
            <v>8.58</v>
          </cell>
          <cell r="K168">
            <v>0</v>
          </cell>
          <cell r="L168">
            <v>8.58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8.58</v>
          </cell>
        </row>
        <row r="169">
          <cell r="C169" t="str">
            <v>AAO73</v>
          </cell>
          <cell r="D169" t="str">
            <v>N/A OPERATIONS' CENTR. OVER</v>
          </cell>
          <cell r="E169" t="str">
            <v>Accruals &amp; Other</v>
          </cell>
          <cell r="F169">
            <v>37104</v>
          </cell>
          <cell r="G169">
            <v>-226.27099999999999</v>
          </cell>
          <cell r="H169">
            <v>101.33499999999999</v>
          </cell>
          <cell r="I169">
            <v>3.2912804361770376</v>
          </cell>
          <cell r="J169">
            <v>333.52190300000007</v>
          </cell>
          <cell r="K169">
            <v>-2.2119249999999999</v>
          </cell>
          <cell r="L169">
            <v>-12.81504799999999</v>
          </cell>
          <cell r="M169">
            <v>-51.485500000000002</v>
          </cell>
          <cell r="N169">
            <v>-12.313803999999999</v>
          </cell>
          <cell r="O169">
            <v>-12.313803999999999</v>
          </cell>
          <cell r="P169">
            <v>-6</v>
          </cell>
          <cell r="Q169">
            <v>-161.58594000000002</v>
          </cell>
        </row>
        <row r="170">
          <cell r="C170" t="str">
            <v>AAO75</v>
          </cell>
          <cell r="D170" t="str">
            <v>Capitalized Interest - Product</v>
          </cell>
          <cell r="E170" t="str">
            <v>Accruals &amp; Other</v>
          </cell>
          <cell r="F170">
            <v>38200</v>
          </cell>
          <cell r="G170">
            <v>104.336</v>
          </cell>
          <cell r="H170">
            <v>104.336</v>
          </cell>
          <cell r="I170">
            <v>0.8664369536880846</v>
          </cell>
          <cell r="J170">
            <v>90.400565999999998</v>
          </cell>
          <cell r="K170">
            <v>12.129080000000002</v>
          </cell>
          <cell r="L170">
            <v>15.779242</v>
          </cell>
          <cell r="M170">
            <v>19.237200000000001</v>
          </cell>
          <cell r="N170">
            <v>18.448794000000003</v>
          </cell>
          <cell r="O170">
            <v>13.122396000000002</v>
          </cell>
          <cell r="P170">
            <v>10.322928000000001</v>
          </cell>
          <cell r="Q170">
            <v>76.910560000000004</v>
          </cell>
        </row>
        <row r="171">
          <cell r="C171" t="str">
            <v>96L00</v>
          </cell>
          <cell r="D171" t="str">
            <v>96.75 CT120 SEDAN/WAGON</v>
          </cell>
          <cell r="E171" t="str">
            <v>All Other N.A. Car Programs</v>
          </cell>
          <cell r="F171">
            <v>35128</v>
          </cell>
          <cell r="G171">
            <v>950.51099999999997</v>
          </cell>
          <cell r="H171">
            <v>548.16499999999996</v>
          </cell>
          <cell r="I171">
            <v>1</v>
          </cell>
          <cell r="J171">
            <v>548.16499999999996</v>
          </cell>
          <cell r="K171">
            <v>1.2E-2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</row>
        <row r="172">
          <cell r="C172" t="str">
            <v>97J01</v>
          </cell>
          <cell r="D172" t="str">
            <v>97/97 1/2 CDW 162 FRESHENING</v>
          </cell>
          <cell r="E172" t="str">
            <v>All Other N.A. Car Programs</v>
          </cell>
          <cell r="F172">
            <v>35443</v>
          </cell>
          <cell r="G172">
            <v>614.45899999999995</v>
          </cell>
          <cell r="H172">
            <v>364.78800000000001</v>
          </cell>
          <cell r="I172">
            <v>0.57107141682292173</v>
          </cell>
          <cell r="J172">
            <v>208.32</v>
          </cell>
          <cell r="K172">
            <v>4.5999999999999999E-2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</row>
        <row r="173">
          <cell r="C173" t="str">
            <v>97L00</v>
          </cell>
          <cell r="D173" t="str">
            <v>97.5 CT120 COUPE</v>
          </cell>
          <cell r="E173" t="str">
            <v>All Other N.A. Car Programs</v>
          </cell>
          <cell r="F173">
            <v>35478</v>
          </cell>
          <cell r="G173">
            <v>339.59199999999998</v>
          </cell>
          <cell r="H173">
            <v>172.29</v>
          </cell>
          <cell r="I173">
            <v>1</v>
          </cell>
          <cell r="J173">
            <v>172.29</v>
          </cell>
          <cell r="K173">
            <v>0.222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</row>
        <row r="174">
          <cell r="C174" t="str">
            <v>98E05</v>
          </cell>
          <cell r="D174" t="str">
            <v>98.25 EN114 FRESHENING</v>
          </cell>
          <cell r="E174" t="str">
            <v>All Other N.A. Car Programs</v>
          </cell>
          <cell r="F174">
            <v>35730</v>
          </cell>
          <cell r="G174">
            <v>229.02699999999999</v>
          </cell>
          <cell r="H174">
            <v>127.836</v>
          </cell>
          <cell r="I174">
            <v>0.49</v>
          </cell>
          <cell r="J174">
            <v>62.63964</v>
          </cell>
          <cell r="K174">
            <v>1.4700000000000001E-2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</row>
        <row r="175">
          <cell r="C175" t="str">
            <v>99H01</v>
          </cell>
          <cell r="D175" t="str">
            <v>1999 DN101 LEV</v>
          </cell>
          <cell r="E175" t="str">
            <v>All Other N.A. Car Programs</v>
          </cell>
          <cell r="F175">
            <v>36342</v>
          </cell>
          <cell r="G175">
            <v>29.838999999999999</v>
          </cell>
          <cell r="H175">
            <v>4.9390000000000001</v>
          </cell>
          <cell r="I175">
            <v>0.79958351893095769</v>
          </cell>
          <cell r="J175">
            <v>3.9491430000000003</v>
          </cell>
          <cell r="K175">
            <v>0.14754300000000001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</row>
        <row r="176">
          <cell r="C176" t="str">
            <v>99I00</v>
          </cell>
          <cell r="D176" t="str">
            <v>SN95 FRESHENING</v>
          </cell>
          <cell r="E176" t="str">
            <v>All Other N.A. Car Programs</v>
          </cell>
          <cell r="F176">
            <v>36102</v>
          </cell>
          <cell r="G176">
            <v>274.46199999999999</v>
          </cell>
          <cell r="H176">
            <v>143.858</v>
          </cell>
          <cell r="I176">
            <v>1</v>
          </cell>
          <cell r="J176">
            <v>143.858</v>
          </cell>
          <cell r="K176">
            <v>2.2639999999999998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</row>
        <row r="177">
          <cell r="C177" t="str">
            <v>99J04</v>
          </cell>
          <cell r="D177" t="str">
            <v>99 CDW162 VALUE IMPROVEMENT</v>
          </cell>
          <cell r="E177" t="str">
            <v>All Other N.A. Car Programs</v>
          </cell>
          <cell r="F177">
            <v>36008</v>
          </cell>
          <cell r="G177">
            <v>17.696000000000002</v>
          </cell>
          <cell r="H177">
            <v>17.364000000000001</v>
          </cell>
          <cell r="I177">
            <v>0.99873301082699828</v>
          </cell>
          <cell r="J177">
            <v>17.341999999999999</v>
          </cell>
          <cell r="K177">
            <v>1.4E-2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</row>
        <row r="178">
          <cell r="C178" t="str">
            <v>99L02</v>
          </cell>
          <cell r="D178" t="str">
            <v>CT120 COUPE LEV</v>
          </cell>
          <cell r="E178" t="str">
            <v>All Other N.A. Car Programs</v>
          </cell>
          <cell r="F178">
            <v>36193</v>
          </cell>
          <cell r="G178">
            <v>0.54600000000000004</v>
          </cell>
          <cell r="H178">
            <v>0.31900000000000001</v>
          </cell>
          <cell r="I178">
            <v>1</v>
          </cell>
          <cell r="J178">
            <v>0.31900000000000001</v>
          </cell>
          <cell r="K178">
            <v>3.0000000000000001E-3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</row>
        <row r="179">
          <cell r="C179" t="str">
            <v>99T01</v>
          </cell>
          <cell r="D179" t="str">
            <v>WIN126 FRESH &amp; LH DOOR</v>
          </cell>
          <cell r="E179" t="str">
            <v>All Other N.A. Car Programs</v>
          </cell>
          <cell r="F179">
            <v>36008</v>
          </cell>
          <cell r="G179">
            <v>787.13900000000001</v>
          </cell>
          <cell r="H179">
            <v>467.55599999999998</v>
          </cell>
          <cell r="I179">
            <v>1</v>
          </cell>
          <cell r="J179">
            <v>467.55599999999998</v>
          </cell>
          <cell r="K179">
            <v>7.4169999999999998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</row>
        <row r="180">
          <cell r="C180" t="str">
            <v>00I00</v>
          </cell>
          <cell r="D180" t="str">
            <v>SN95 Carryover Funds</v>
          </cell>
          <cell r="E180" t="str">
            <v>All Other N.A. Car Programs</v>
          </cell>
          <cell r="F180">
            <v>36375</v>
          </cell>
          <cell r="G180">
            <v>4.3319999999999999</v>
          </cell>
          <cell r="H180">
            <v>3.9950000000000001</v>
          </cell>
          <cell r="I180">
            <v>1</v>
          </cell>
          <cell r="J180">
            <v>3.9950000000000001</v>
          </cell>
          <cell r="K180">
            <v>1.2170000000000001</v>
          </cell>
          <cell r="L180">
            <v>1.2230000000000001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1.2230000000000001</v>
          </cell>
        </row>
        <row r="181">
          <cell r="C181" t="str">
            <v>00I01</v>
          </cell>
          <cell r="D181" t="str">
            <v>Mustang Cobra Rear Fascia</v>
          </cell>
          <cell r="E181" t="str">
            <v>All Other N.A. Car Programs</v>
          </cell>
          <cell r="F181">
            <v>36373</v>
          </cell>
          <cell r="G181">
            <v>5.3999999999999999E-2</v>
          </cell>
          <cell r="H181">
            <v>0.04</v>
          </cell>
          <cell r="I181">
            <v>1</v>
          </cell>
          <cell r="J181">
            <v>0.04</v>
          </cell>
          <cell r="K181">
            <v>3.1E-2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</row>
        <row r="182">
          <cell r="C182" t="str">
            <v>00R41</v>
          </cell>
          <cell r="D182" t="str">
            <v>C170 Focus CKD for Argentin</v>
          </cell>
          <cell r="E182" t="str">
            <v>All Other N.A. Car Programs</v>
          </cell>
          <cell r="F182">
            <v>36708</v>
          </cell>
          <cell r="G182">
            <v>59.064</v>
          </cell>
          <cell r="H182">
            <v>35.976999999999997</v>
          </cell>
          <cell r="I182">
            <v>8.8306417989270927E-2</v>
          </cell>
          <cell r="J182">
            <v>3.177</v>
          </cell>
          <cell r="K182">
            <v>2.7349999999999999</v>
          </cell>
          <cell r="L182">
            <v>0.442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0.442</v>
          </cell>
        </row>
        <row r="183">
          <cell r="C183" t="str">
            <v>00T00</v>
          </cell>
          <cell r="D183" t="str">
            <v>2000.25 Windstar Limited</v>
          </cell>
          <cell r="E183" t="str">
            <v>All Other N.A. Car Programs</v>
          </cell>
          <cell r="F183">
            <v>36526</v>
          </cell>
          <cell r="G183">
            <v>2.4590000000000001</v>
          </cell>
          <cell r="H183">
            <v>1.37</v>
          </cell>
          <cell r="I183">
            <v>1</v>
          </cell>
          <cell r="J183">
            <v>1.37</v>
          </cell>
          <cell r="K183">
            <v>1.37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</row>
        <row r="184">
          <cell r="C184" t="str">
            <v>00T90</v>
          </cell>
          <cell r="D184" t="str">
            <v>Capstone Qual-Windstar Frame</v>
          </cell>
          <cell r="E184" t="str">
            <v>All Other N.A. Car Programs</v>
          </cell>
          <cell r="F184">
            <v>36708</v>
          </cell>
          <cell r="G184">
            <v>0.96499999999999997</v>
          </cell>
          <cell r="H184">
            <v>0.96499999999999997</v>
          </cell>
          <cell r="I184">
            <v>1</v>
          </cell>
          <cell r="J184">
            <v>0.96499999999999997</v>
          </cell>
          <cell r="K184">
            <v>0.96499999999999997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</row>
        <row r="185">
          <cell r="C185" t="str">
            <v>01H01</v>
          </cell>
          <cell r="D185" t="str">
            <v>D186 MRFS</v>
          </cell>
          <cell r="E185" t="str">
            <v>All Other N.A. Car Programs</v>
          </cell>
          <cell r="F185">
            <v>36739</v>
          </cell>
          <cell r="G185">
            <v>1.3169999999999999</v>
          </cell>
          <cell r="H185">
            <v>1.137</v>
          </cell>
          <cell r="I185">
            <v>1</v>
          </cell>
          <cell r="J185">
            <v>1.137</v>
          </cell>
          <cell r="K185">
            <v>1.137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</row>
        <row r="186">
          <cell r="C186" t="str">
            <v>01I90</v>
          </cell>
          <cell r="D186" t="str">
            <v>Capstone Qual - Mustang</v>
          </cell>
          <cell r="E186" t="str">
            <v>All Other N.A. Car Programs</v>
          </cell>
          <cell r="F186">
            <v>37073</v>
          </cell>
          <cell r="G186">
            <v>0.6</v>
          </cell>
          <cell r="H186">
            <v>0.6</v>
          </cell>
          <cell r="I186">
            <v>1</v>
          </cell>
          <cell r="J186">
            <v>0.6</v>
          </cell>
          <cell r="K186">
            <v>0</v>
          </cell>
          <cell r="L186">
            <v>0.6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0.6</v>
          </cell>
        </row>
        <row r="187">
          <cell r="C187" t="str">
            <v>01L16</v>
          </cell>
          <cell r="D187" t="str">
            <v>C170 FoM OPD</v>
          </cell>
          <cell r="E187" t="str">
            <v>All Other N.A. Car Programs</v>
          </cell>
          <cell r="F187">
            <v>37073</v>
          </cell>
          <cell r="G187">
            <v>0.34200000000000003</v>
          </cell>
          <cell r="H187">
            <v>0.34200000000000003</v>
          </cell>
          <cell r="I187">
            <v>1</v>
          </cell>
          <cell r="J187">
            <v>0.34200000000000003</v>
          </cell>
          <cell r="K187">
            <v>0.34200000000000003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</row>
        <row r="188">
          <cell r="C188" t="str">
            <v>01Q11</v>
          </cell>
          <cell r="D188" t="str">
            <v>C170 Simplified Mkt Offrg(Cap)</v>
          </cell>
          <cell r="E188" t="str">
            <v>All Other N.A. Car Programs</v>
          </cell>
          <cell r="F188">
            <v>36739</v>
          </cell>
          <cell r="G188">
            <v>0.48899999999999999</v>
          </cell>
          <cell r="H188">
            <v>0.48899999999999999</v>
          </cell>
          <cell r="I188">
            <v>1</v>
          </cell>
          <cell r="J188">
            <v>0.48899999999999999</v>
          </cell>
          <cell r="K188">
            <v>0.48899999999999999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</row>
        <row r="189">
          <cell r="C189" t="str">
            <v>02H32</v>
          </cell>
          <cell r="D189" t="str">
            <v>D186 3.0L Vulcan Upgd Veh Inst</v>
          </cell>
          <cell r="E189" t="str">
            <v>All Other N.A. Car Programs</v>
          </cell>
          <cell r="F189">
            <v>37104</v>
          </cell>
          <cell r="G189">
            <v>5.13</v>
          </cell>
          <cell r="H189">
            <v>2.7829999999999999</v>
          </cell>
          <cell r="I189">
            <v>1</v>
          </cell>
          <cell r="J189">
            <v>2.7829999999999999</v>
          </cell>
          <cell r="K189">
            <v>4.4999999999999998E-2</v>
          </cell>
          <cell r="L189">
            <v>2.33</v>
          </cell>
          <cell r="M189">
            <v>0.40799999999999997</v>
          </cell>
          <cell r="N189">
            <v>0</v>
          </cell>
          <cell r="O189">
            <v>0</v>
          </cell>
          <cell r="P189">
            <v>0</v>
          </cell>
          <cell r="Q189">
            <v>2.738</v>
          </cell>
        </row>
        <row r="190">
          <cell r="C190" t="str">
            <v>02I01</v>
          </cell>
          <cell r="D190" t="str">
            <v>Fox Mustang Freshening</v>
          </cell>
          <cell r="E190" t="str">
            <v>All Other N.A. Car Programs</v>
          </cell>
          <cell r="F190">
            <v>37135</v>
          </cell>
          <cell r="G190">
            <v>11.352</v>
          </cell>
          <cell r="H190">
            <v>6.04</v>
          </cell>
          <cell r="I190">
            <v>1</v>
          </cell>
          <cell r="J190">
            <v>6.04</v>
          </cell>
          <cell r="K190">
            <v>0</v>
          </cell>
          <cell r="L190">
            <v>6.04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6.04</v>
          </cell>
        </row>
        <row r="191">
          <cell r="C191" t="str">
            <v>02P44</v>
          </cell>
          <cell r="D191" t="str">
            <v>3.0L Duratec for J16L</v>
          </cell>
          <cell r="E191" t="str">
            <v>All Other N.A. Car Programs</v>
          </cell>
          <cell r="F191">
            <v>37104</v>
          </cell>
          <cell r="G191">
            <v>9.1</v>
          </cell>
          <cell r="H191">
            <v>2.1</v>
          </cell>
          <cell r="I191">
            <v>1</v>
          </cell>
          <cell r="J191">
            <v>2.1</v>
          </cell>
          <cell r="K191">
            <v>0</v>
          </cell>
          <cell r="L191">
            <v>0.52500000000000002</v>
          </cell>
          <cell r="M191">
            <v>1.575</v>
          </cell>
          <cell r="N191">
            <v>0</v>
          </cell>
          <cell r="O191">
            <v>0</v>
          </cell>
          <cell r="P191">
            <v>0</v>
          </cell>
          <cell r="Q191">
            <v>2.1</v>
          </cell>
        </row>
        <row r="192">
          <cell r="C192" t="str">
            <v>03L20</v>
          </cell>
          <cell r="D192" t="str">
            <v>CT120 Escort/ZX2 Head Im Comp</v>
          </cell>
          <cell r="E192" t="str">
            <v>All Other N.A. Car Programs</v>
          </cell>
          <cell r="F192">
            <v>37469</v>
          </cell>
          <cell r="G192">
            <v>15.494999999999999</v>
          </cell>
          <cell r="H192">
            <v>9</v>
          </cell>
          <cell r="I192">
            <v>1</v>
          </cell>
          <cell r="J192">
            <v>9</v>
          </cell>
          <cell r="K192">
            <v>0</v>
          </cell>
          <cell r="L192">
            <v>0.93600000000000005</v>
          </cell>
          <cell r="M192">
            <v>6.8120000000000003</v>
          </cell>
          <cell r="N192">
            <v>1.252</v>
          </cell>
          <cell r="O192">
            <v>0</v>
          </cell>
          <cell r="P192">
            <v>0</v>
          </cell>
          <cell r="Q192">
            <v>9</v>
          </cell>
        </row>
        <row r="193">
          <cell r="C193" t="str">
            <v>03R85</v>
          </cell>
          <cell r="D193" t="str">
            <v>Mazda J16 MPV--NA Spending</v>
          </cell>
          <cell r="E193" t="str">
            <v>All Other N.A. Car Programs</v>
          </cell>
          <cell r="F193">
            <v>37561</v>
          </cell>
          <cell r="G193">
            <v>11.9</v>
          </cell>
          <cell r="H193">
            <v>1.1040000000000001</v>
          </cell>
          <cell r="I193">
            <v>1</v>
          </cell>
          <cell r="J193">
            <v>1.1039999999999999</v>
          </cell>
          <cell r="K193">
            <v>0</v>
          </cell>
          <cell r="L193">
            <v>0.10100000000000001</v>
          </cell>
          <cell r="M193">
            <v>0.70399999999999996</v>
          </cell>
          <cell r="N193">
            <v>0.29899999999999999</v>
          </cell>
          <cell r="O193">
            <v>0</v>
          </cell>
          <cell r="P193">
            <v>0</v>
          </cell>
          <cell r="Q193">
            <v>1.1039999999999999</v>
          </cell>
        </row>
        <row r="194">
          <cell r="C194" t="str">
            <v>04E02</v>
          </cell>
          <cell r="D194" t="str">
            <v>CV/GM - EN114 CNG</v>
          </cell>
          <cell r="E194" t="str">
            <v>All Other N.A. Car Programs</v>
          </cell>
          <cell r="F194">
            <v>37834</v>
          </cell>
          <cell r="G194">
            <v>5</v>
          </cell>
          <cell r="H194">
            <v>3.2530000000000001</v>
          </cell>
          <cell r="I194">
            <v>0.5</v>
          </cell>
          <cell r="J194">
            <v>1.6265000000000001</v>
          </cell>
          <cell r="K194">
            <v>0</v>
          </cell>
          <cell r="L194">
            <v>0</v>
          </cell>
          <cell r="M194">
            <v>0.16850000000000001</v>
          </cell>
          <cell r="N194">
            <v>1.2444999999999999</v>
          </cell>
          <cell r="O194">
            <v>0.2135</v>
          </cell>
          <cell r="P194">
            <v>0</v>
          </cell>
          <cell r="Q194">
            <v>1.6265000000000001</v>
          </cell>
        </row>
        <row r="195">
          <cell r="C195" t="str">
            <v>04R85</v>
          </cell>
          <cell r="D195" t="str">
            <v>J16E SWB MPV (billings)</v>
          </cell>
          <cell r="E195" t="str">
            <v>All Other N.A. Car Programs</v>
          </cell>
          <cell r="F195">
            <v>38108</v>
          </cell>
          <cell r="G195">
            <v>38.799999999999997</v>
          </cell>
          <cell r="H195">
            <v>35.695999999999998</v>
          </cell>
          <cell r="I195">
            <v>1</v>
          </cell>
          <cell r="J195">
            <v>35.696000000000005</v>
          </cell>
          <cell r="K195">
            <v>0</v>
          </cell>
          <cell r="L195">
            <v>0</v>
          </cell>
          <cell r="M195">
            <v>0</v>
          </cell>
          <cell r="N195">
            <v>12.244</v>
          </cell>
          <cell r="O195">
            <v>22.739000000000001</v>
          </cell>
          <cell r="P195">
            <v>0.71299999999999997</v>
          </cell>
          <cell r="Q195">
            <v>35.696000000000005</v>
          </cell>
        </row>
        <row r="196">
          <cell r="C196" t="str">
            <v>05P41</v>
          </cell>
          <cell r="D196" t="str">
            <v>4.6L 3V (EN114 Veh Effects)</v>
          </cell>
          <cell r="E196" t="str">
            <v>All Other N.A. Car Programs</v>
          </cell>
          <cell r="F196">
            <v>38200</v>
          </cell>
          <cell r="G196">
            <v>16.5</v>
          </cell>
          <cell r="H196">
            <v>3.6</v>
          </cell>
          <cell r="I196">
            <v>0.51</v>
          </cell>
          <cell r="J196">
            <v>1.8360000000000001</v>
          </cell>
          <cell r="K196">
            <v>0</v>
          </cell>
          <cell r="L196">
            <v>0</v>
          </cell>
          <cell r="M196">
            <v>2.0400000000000001E-3</v>
          </cell>
          <cell r="N196">
            <v>0.69105000000000005</v>
          </cell>
          <cell r="O196">
            <v>0.93789</v>
          </cell>
          <cell r="P196">
            <v>0.20502000000000001</v>
          </cell>
          <cell r="Q196">
            <v>1.8360000000000001</v>
          </cell>
        </row>
        <row r="197">
          <cell r="C197" t="str">
            <v>08H00</v>
          </cell>
          <cell r="D197" t="str">
            <v>Ford J56 (626) Derivative</v>
          </cell>
          <cell r="E197" t="str">
            <v>All Other N.A. Car Programs</v>
          </cell>
          <cell r="F197">
            <v>39479</v>
          </cell>
          <cell r="G197">
            <v>675</v>
          </cell>
          <cell r="H197">
            <v>439.16399999999999</v>
          </cell>
          <cell r="I197">
            <v>1</v>
          </cell>
          <cell r="J197">
            <v>439.16400000000004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1.17</v>
          </cell>
          <cell r="Q197">
            <v>1.17</v>
          </cell>
        </row>
        <row r="198">
          <cell r="C198" t="str">
            <v>08H01</v>
          </cell>
          <cell r="D198" t="str">
            <v>D258 Minor Fresh</v>
          </cell>
          <cell r="E198" t="str">
            <v>All Other N.A. Car Programs</v>
          </cell>
          <cell r="F198">
            <v>39114</v>
          </cell>
          <cell r="G198">
            <v>175</v>
          </cell>
          <cell r="H198">
            <v>99.001000000000005</v>
          </cell>
          <cell r="I198">
            <v>1</v>
          </cell>
          <cell r="J198">
            <v>99.001000000000005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1.7999999999999999E-2</v>
          </cell>
          <cell r="Q198">
            <v>1.7999999999999999E-2</v>
          </cell>
        </row>
        <row r="199">
          <cell r="C199" t="str">
            <v>08H10</v>
          </cell>
          <cell r="D199" t="str">
            <v>D219 CTW Minor Fresh</v>
          </cell>
          <cell r="E199" t="str">
            <v>All Other N.A. Car Programs</v>
          </cell>
          <cell r="F199">
            <v>39114</v>
          </cell>
          <cell r="G199">
            <v>175</v>
          </cell>
          <cell r="H199">
            <v>99.001000000000005</v>
          </cell>
          <cell r="I199">
            <v>1</v>
          </cell>
          <cell r="J199">
            <v>99.001000000000005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1.7999999999999999E-2</v>
          </cell>
          <cell r="Q199">
            <v>1.7999999999999999E-2</v>
          </cell>
        </row>
        <row r="200">
          <cell r="C200" t="str">
            <v>09G02</v>
          </cell>
          <cell r="D200" t="str">
            <v>M205 A6R70 Trans, Veh. Install</v>
          </cell>
          <cell r="E200" t="str">
            <v>All Other N.A. Car Programs</v>
          </cell>
          <cell r="F200">
            <v>39661</v>
          </cell>
          <cell r="G200">
            <v>10</v>
          </cell>
          <cell r="H200">
            <v>5.6580000000000004</v>
          </cell>
          <cell r="I200">
            <v>1</v>
          </cell>
          <cell r="J200">
            <v>5.6580000000000004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</row>
        <row r="201">
          <cell r="C201" t="str">
            <v>09H20</v>
          </cell>
          <cell r="D201" t="str">
            <v>D197 Minor Freshening</v>
          </cell>
          <cell r="E201" t="str">
            <v>All Other N.A. Car Programs</v>
          </cell>
          <cell r="F201">
            <v>39845</v>
          </cell>
          <cell r="G201">
            <v>170</v>
          </cell>
          <cell r="H201">
            <v>95.646000000000001</v>
          </cell>
          <cell r="I201">
            <v>1</v>
          </cell>
          <cell r="J201">
            <v>95.646000000000001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</row>
        <row r="202">
          <cell r="C202" t="str">
            <v>09L00</v>
          </cell>
          <cell r="D202" t="str">
            <v>C214 NA - Focus Major Fresh</v>
          </cell>
          <cell r="E202" t="str">
            <v>All Other N.A. Car Programs</v>
          </cell>
          <cell r="F202">
            <v>39661</v>
          </cell>
          <cell r="G202">
            <v>540</v>
          </cell>
          <cell r="H202">
            <v>348.173</v>
          </cell>
          <cell r="I202">
            <v>1</v>
          </cell>
          <cell r="J202">
            <v>348.173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</row>
        <row r="203">
          <cell r="C203" t="str">
            <v>10T00</v>
          </cell>
          <cell r="D203" t="str">
            <v>V196 Minor Freshening</v>
          </cell>
          <cell r="E203" t="str">
            <v>All Other N.A. Car Programs</v>
          </cell>
          <cell r="F203">
            <v>40026</v>
          </cell>
          <cell r="G203">
            <v>150</v>
          </cell>
          <cell r="H203">
            <v>84.394999999999996</v>
          </cell>
          <cell r="I203">
            <v>1</v>
          </cell>
          <cell r="J203">
            <v>84.394999999999996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</row>
        <row r="204">
          <cell r="C204" t="str">
            <v>96X00</v>
          </cell>
          <cell r="D204" t="str">
            <v>PN96</v>
          </cell>
          <cell r="E204" t="str">
            <v>All Other N.A. Truck Programs</v>
          </cell>
          <cell r="F204">
            <v>35032</v>
          </cell>
          <cell r="G204">
            <v>1995.251</v>
          </cell>
          <cell r="H204">
            <v>1262.53</v>
          </cell>
          <cell r="I204">
            <v>0.99922378082104979</v>
          </cell>
          <cell r="J204">
            <v>1261.55</v>
          </cell>
          <cell r="K204">
            <v>3.6999999999999998E-2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</row>
        <row r="205">
          <cell r="C205" t="str">
            <v>97U01</v>
          </cell>
          <cell r="D205" t="str">
            <v>UN93</v>
          </cell>
          <cell r="E205" t="str">
            <v>All Other N.A. Truck Programs</v>
          </cell>
          <cell r="F205">
            <v>35278</v>
          </cell>
          <cell r="G205">
            <v>1014.355</v>
          </cell>
          <cell r="H205">
            <v>653.01099999999997</v>
          </cell>
          <cell r="I205">
            <v>1</v>
          </cell>
          <cell r="J205">
            <v>653.01099999999997</v>
          </cell>
          <cell r="K205">
            <v>-1.4890000000000001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</row>
        <row r="206">
          <cell r="C206" t="str">
            <v>98501</v>
          </cell>
          <cell r="D206" t="str">
            <v>EXPLORER FRESHENING</v>
          </cell>
          <cell r="E206" t="str">
            <v>All Other N.A. Truck Programs</v>
          </cell>
          <cell r="F206">
            <v>35667</v>
          </cell>
          <cell r="G206">
            <v>154.15199999999999</v>
          </cell>
          <cell r="H206">
            <v>72.947000000000003</v>
          </cell>
          <cell r="I206">
            <v>1</v>
          </cell>
          <cell r="J206">
            <v>72.947000000000003</v>
          </cell>
          <cell r="K206">
            <v>0.32100000000000001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</row>
        <row r="207">
          <cell r="C207" t="str">
            <v>98V01</v>
          </cell>
          <cell r="D207" t="str">
            <v>PN150/151</v>
          </cell>
          <cell r="E207" t="str">
            <v>All Other N.A. Truck Programs</v>
          </cell>
          <cell r="F207">
            <v>35643</v>
          </cell>
          <cell r="G207">
            <v>756.46699999999998</v>
          </cell>
          <cell r="H207">
            <v>408.42599999999999</v>
          </cell>
          <cell r="I207">
            <v>1</v>
          </cell>
          <cell r="J207">
            <v>408.42599999999999</v>
          </cell>
          <cell r="K207">
            <v>0.18099999999999999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</row>
        <row r="208">
          <cell r="C208" t="str">
            <v>98X67</v>
          </cell>
          <cell r="D208" t="str">
            <v>PN96/UN93 Cap. Long Lead</v>
          </cell>
          <cell r="E208" t="str">
            <v>All Other N.A. Truck Programs</v>
          </cell>
          <cell r="F208">
            <v>35643</v>
          </cell>
          <cell r="G208">
            <v>138.624</v>
          </cell>
          <cell r="H208">
            <v>78.744</v>
          </cell>
          <cell r="I208">
            <v>0.94</v>
          </cell>
          <cell r="J208">
            <v>74.019360000000006</v>
          </cell>
          <cell r="K208">
            <v>0.65893999999999997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</row>
        <row r="209">
          <cell r="C209" t="str">
            <v>98Z01</v>
          </cell>
          <cell r="D209" t="str">
            <v>HN78 Continuation at CUAP</v>
          </cell>
          <cell r="E209" t="str">
            <v>All Other N.A. Truck Programs</v>
          </cell>
          <cell r="F209">
            <v>35800</v>
          </cell>
          <cell r="G209">
            <v>21.143999999999998</v>
          </cell>
          <cell r="H209">
            <v>12.492000000000001</v>
          </cell>
          <cell r="I209">
            <v>1</v>
          </cell>
          <cell r="J209">
            <v>12.492000000000001</v>
          </cell>
          <cell r="K209">
            <v>6.9000000000000006E-2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</row>
        <row r="210">
          <cell r="C210" t="str">
            <v>98Z11</v>
          </cell>
          <cell r="D210" t="str">
            <v>98-1/2 PHN131</v>
          </cell>
          <cell r="E210" t="str">
            <v>All Other N.A. Truck Programs</v>
          </cell>
          <cell r="F210">
            <v>35800</v>
          </cell>
          <cell r="G210">
            <v>1803.7190000000001</v>
          </cell>
          <cell r="H210">
            <v>1073.1859999999999</v>
          </cell>
          <cell r="I210">
            <v>1</v>
          </cell>
          <cell r="J210">
            <v>1073.1860000000001</v>
          </cell>
          <cell r="K210">
            <v>6.1609999999999996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</row>
        <row r="211">
          <cell r="C211" t="str">
            <v>99511</v>
          </cell>
          <cell r="D211" t="str">
            <v>1999 5.0L EXPL/MOUNT FRESH</v>
          </cell>
          <cell r="E211" t="str">
            <v>All Other N.A. Truck Programs</v>
          </cell>
          <cell r="F211">
            <v>36052</v>
          </cell>
          <cell r="G211">
            <v>87.744</v>
          </cell>
          <cell r="H211">
            <v>38.564</v>
          </cell>
          <cell r="I211">
            <v>0.76</v>
          </cell>
          <cell r="J211">
            <v>29.30864</v>
          </cell>
          <cell r="K211">
            <v>1.0571600000000001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</row>
        <row r="212">
          <cell r="C212" t="str">
            <v>99512</v>
          </cell>
          <cell r="D212" t="str">
            <v>(G) U150 USPS Stripped Chas</v>
          </cell>
          <cell r="E212" t="str">
            <v>All Other N.A. Truck Programs</v>
          </cell>
          <cell r="F212">
            <v>36381</v>
          </cell>
          <cell r="G212">
            <v>10.134</v>
          </cell>
          <cell r="H212">
            <v>2.6709999999999998</v>
          </cell>
          <cell r="I212">
            <v>1</v>
          </cell>
          <cell r="J212">
            <v>2.6709999999999998</v>
          </cell>
          <cell r="K212">
            <v>0.19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</row>
        <row r="213">
          <cell r="C213" t="str">
            <v>99Q10</v>
          </cell>
          <cell r="D213" t="str">
            <v>Ranger 3.0L FFV Expansion</v>
          </cell>
          <cell r="E213" t="str">
            <v>All Other N.A. Truck Programs</v>
          </cell>
          <cell r="F213">
            <v>36100</v>
          </cell>
          <cell r="G213">
            <v>0.501</v>
          </cell>
          <cell r="H213">
            <v>0.501</v>
          </cell>
          <cell r="I213">
            <v>1</v>
          </cell>
          <cell r="J213">
            <v>0.501</v>
          </cell>
          <cell r="K213">
            <v>6.0000000000000001E-3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</row>
        <row r="214">
          <cell r="C214" t="str">
            <v>99V06</v>
          </cell>
          <cell r="D214" t="str">
            <v>1999 PN150/151 MINOR FR.</v>
          </cell>
          <cell r="E214" t="str">
            <v>All Other N.A. Truck Programs</v>
          </cell>
          <cell r="F214">
            <v>36008</v>
          </cell>
          <cell r="G214">
            <v>29.734999999999999</v>
          </cell>
          <cell r="H214">
            <v>9.8819999999999997</v>
          </cell>
          <cell r="I214">
            <v>1</v>
          </cell>
          <cell r="J214">
            <v>9.8819999999999997</v>
          </cell>
          <cell r="K214">
            <v>0.13600000000000001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</row>
        <row r="215">
          <cell r="C215" t="str">
            <v>99V81</v>
          </cell>
          <cell r="D215" t="str">
            <v>VZL PN150 (N.A. &amp; S.A.)</v>
          </cell>
          <cell r="E215" t="str">
            <v>All Other N.A. Truck Programs</v>
          </cell>
          <cell r="F215">
            <v>36039</v>
          </cell>
          <cell r="G215">
            <v>10.414</v>
          </cell>
          <cell r="H215">
            <v>7.8140000000000001</v>
          </cell>
          <cell r="I215">
            <v>0.10417199897619658</v>
          </cell>
          <cell r="J215">
            <v>0.81400000000000006</v>
          </cell>
          <cell r="K215">
            <v>4.7E-2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</row>
        <row r="216">
          <cell r="C216" t="str">
            <v>99W08</v>
          </cell>
          <cell r="D216" t="str">
            <v>E-Series Brake Improvements</v>
          </cell>
          <cell r="E216" t="str">
            <v>All Other N.A. Truck Programs</v>
          </cell>
          <cell r="F216">
            <v>36008</v>
          </cell>
          <cell r="G216">
            <v>5.8789999999999996</v>
          </cell>
          <cell r="H216">
            <v>5.77</v>
          </cell>
          <cell r="I216">
            <v>1</v>
          </cell>
          <cell r="J216">
            <v>5.77</v>
          </cell>
          <cell r="K216">
            <v>3.968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</row>
        <row r="217">
          <cell r="C217" t="str">
            <v>99X01</v>
          </cell>
          <cell r="D217" t="str">
            <v>PN96/UN93 (INCL 4-DR SUPERCAB)</v>
          </cell>
          <cell r="E217" t="str">
            <v>All Other N.A. Truck Programs</v>
          </cell>
          <cell r="F217">
            <v>36008</v>
          </cell>
          <cell r="G217">
            <v>433.86</v>
          </cell>
          <cell r="H217">
            <v>168.999</v>
          </cell>
          <cell r="I217">
            <v>0.94</v>
          </cell>
          <cell r="J217">
            <v>158.85906</v>
          </cell>
          <cell r="K217">
            <v>1.7192600000000002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</row>
        <row r="218">
          <cell r="C218" t="str">
            <v>99Z05</v>
          </cell>
          <cell r="D218" t="str">
            <v>(G) P131 CuAP Chassis Cab E</v>
          </cell>
          <cell r="E218" t="str">
            <v>All Other N.A. Truck Programs</v>
          </cell>
          <cell r="F218">
            <v>36069</v>
          </cell>
          <cell r="G218">
            <v>2.8540000000000001</v>
          </cell>
          <cell r="H218">
            <v>1.778</v>
          </cell>
          <cell r="I218">
            <v>1</v>
          </cell>
          <cell r="J218">
            <v>1.778</v>
          </cell>
          <cell r="K218">
            <v>1.2E-2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</row>
        <row r="219">
          <cell r="C219" t="str">
            <v>99Z06</v>
          </cell>
          <cell r="D219" t="str">
            <v>1999 HN190 Sloped Hood</v>
          </cell>
          <cell r="E219" t="str">
            <v>All Other N.A. Truck Programs</v>
          </cell>
          <cell r="F219">
            <v>35871</v>
          </cell>
          <cell r="G219">
            <v>7.3609999999999998</v>
          </cell>
          <cell r="H219">
            <v>4.7140000000000004</v>
          </cell>
          <cell r="I219">
            <v>1</v>
          </cell>
          <cell r="J219">
            <v>4.7140000000000004</v>
          </cell>
          <cell r="K219">
            <v>1E-3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</row>
        <row r="220">
          <cell r="C220" t="str">
            <v>99Z20</v>
          </cell>
          <cell r="D220" t="str">
            <v>H215 PROGRAM</v>
          </cell>
          <cell r="E220" t="str">
            <v>All Other N.A. Truck Programs</v>
          </cell>
          <cell r="F220">
            <v>36220</v>
          </cell>
          <cell r="G220">
            <v>78.48</v>
          </cell>
          <cell r="H220">
            <v>32.622</v>
          </cell>
          <cell r="I220">
            <v>1</v>
          </cell>
          <cell r="J220">
            <v>32.622</v>
          </cell>
          <cell r="K220">
            <v>1.0589999999999999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</row>
        <row r="221">
          <cell r="C221" t="str">
            <v>99Z80</v>
          </cell>
          <cell r="D221" t="str">
            <v>BRAZIL PHN131</v>
          </cell>
          <cell r="E221" t="str">
            <v>All Other N.A. Truck Programs</v>
          </cell>
          <cell r="F221">
            <v>36342</v>
          </cell>
          <cell r="G221">
            <v>90.47</v>
          </cell>
          <cell r="H221">
            <v>57.38</v>
          </cell>
          <cell r="I221">
            <v>8.678982223771349E-2</v>
          </cell>
          <cell r="J221">
            <v>4.9800000000000004</v>
          </cell>
          <cell r="K221">
            <v>0.38200000000000001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</row>
        <row r="222">
          <cell r="C222" t="str">
            <v>00U90</v>
          </cell>
          <cell r="D222" t="str">
            <v>Capstone Qual - MTP (Exp/Nav)</v>
          </cell>
          <cell r="E222" t="str">
            <v>All Other N.A. Truck Programs</v>
          </cell>
          <cell r="F222">
            <v>37207</v>
          </cell>
          <cell r="G222">
            <v>3.948</v>
          </cell>
          <cell r="H222">
            <v>3.948</v>
          </cell>
          <cell r="I222">
            <v>0.85</v>
          </cell>
          <cell r="J222">
            <v>3.3557999999999999</v>
          </cell>
          <cell r="K222">
            <v>1.0922499999999999</v>
          </cell>
          <cell r="L222">
            <v>2.1726000000000001</v>
          </cell>
          <cell r="M222">
            <v>9.0950000000000003E-2</v>
          </cell>
          <cell r="N222">
            <v>0</v>
          </cell>
          <cell r="O222">
            <v>0</v>
          </cell>
          <cell r="P222">
            <v>0</v>
          </cell>
          <cell r="Q222">
            <v>2.26355</v>
          </cell>
        </row>
        <row r="223">
          <cell r="C223" t="str">
            <v>00V05</v>
          </cell>
          <cell r="D223" t="str">
            <v>Ranger Cool Sport &amp; Tunes</v>
          </cell>
          <cell r="E223" t="str">
            <v>All Other N.A. Truck Programs</v>
          </cell>
          <cell r="F223">
            <v>36647</v>
          </cell>
          <cell r="G223">
            <v>0.68600000000000005</v>
          </cell>
          <cell r="H223">
            <v>0.49199999999999999</v>
          </cell>
          <cell r="I223">
            <v>1</v>
          </cell>
          <cell r="J223">
            <v>0.49199999999999999</v>
          </cell>
          <cell r="K223">
            <v>0.45100000000000001</v>
          </cell>
          <cell r="L223">
            <v>4.1000000000000002E-2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4.1000000000000002E-2</v>
          </cell>
        </row>
        <row r="224">
          <cell r="C224" t="str">
            <v>00V06</v>
          </cell>
          <cell r="D224" t="str">
            <v>Ranger Cost Reductions</v>
          </cell>
          <cell r="E224" t="str">
            <v>All Other N.A. Truck Programs</v>
          </cell>
          <cell r="F224">
            <v>36373</v>
          </cell>
          <cell r="G224">
            <v>4.6390000000000002</v>
          </cell>
          <cell r="H224">
            <v>4.0090000000000003</v>
          </cell>
          <cell r="I224">
            <v>1</v>
          </cell>
          <cell r="J224">
            <v>4.0090000000000003</v>
          </cell>
          <cell r="K224">
            <v>1.071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</row>
        <row r="225">
          <cell r="C225" t="str">
            <v>00W01</v>
          </cell>
          <cell r="D225" t="str">
            <v>E-Series FRESHENING</v>
          </cell>
          <cell r="E225" t="str">
            <v>All Other N.A. Truck Programs</v>
          </cell>
          <cell r="F225">
            <v>36677</v>
          </cell>
          <cell r="G225">
            <v>8.7040000000000006</v>
          </cell>
          <cell r="H225">
            <v>5.548</v>
          </cell>
          <cell r="I225">
            <v>1</v>
          </cell>
          <cell r="J225">
            <v>5.548</v>
          </cell>
          <cell r="K225">
            <v>3.351</v>
          </cell>
          <cell r="L225">
            <v>0.53800000000000003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0.53800000000000003</v>
          </cell>
        </row>
        <row r="226">
          <cell r="C226" t="str">
            <v>00Z05</v>
          </cell>
          <cell r="D226" t="str">
            <v>F53 DEZ PROVISION</v>
          </cell>
          <cell r="E226" t="str">
            <v>All Other N.A. Truck Programs</v>
          </cell>
          <cell r="F226">
            <v>36486</v>
          </cell>
          <cell r="G226">
            <v>2.585</v>
          </cell>
          <cell r="H226">
            <v>0.28199999999999997</v>
          </cell>
          <cell r="I226">
            <v>1</v>
          </cell>
          <cell r="J226">
            <v>0.28200000000000003</v>
          </cell>
          <cell r="K226">
            <v>0.10299999999999999</v>
          </cell>
          <cell r="L226">
            <v>0.124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0.124</v>
          </cell>
        </row>
        <row r="227">
          <cell r="C227" t="str">
            <v>00Z06</v>
          </cell>
          <cell r="D227" t="str">
            <v>H215 - Top Gun I</v>
          </cell>
          <cell r="E227" t="str">
            <v>All Other N.A. Truck Programs</v>
          </cell>
          <cell r="F227">
            <v>36708</v>
          </cell>
          <cell r="G227">
            <v>3.62</v>
          </cell>
          <cell r="H227">
            <v>0.28000000000000003</v>
          </cell>
          <cell r="I227">
            <v>1</v>
          </cell>
          <cell r="J227">
            <v>0.28000000000000003</v>
          </cell>
          <cell r="K227">
            <v>0.184</v>
          </cell>
          <cell r="L227">
            <v>9.0999999999999998E-2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9.0999999999999998E-2</v>
          </cell>
        </row>
        <row r="228">
          <cell r="C228" t="str">
            <v>00Z07</v>
          </cell>
          <cell r="D228" t="str">
            <v>P131 Added Wheelbases</v>
          </cell>
          <cell r="E228" t="str">
            <v>All Other N.A. Truck Programs</v>
          </cell>
          <cell r="F228">
            <v>36774</v>
          </cell>
          <cell r="G228">
            <v>4.8959999999999999</v>
          </cell>
          <cell r="H228">
            <v>3.5249999999999999</v>
          </cell>
          <cell r="I228">
            <v>1</v>
          </cell>
          <cell r="J228">
            <v>3.5249999999999999</v>
          </cell>
          <cell r="K228">
            <v>0.55700000000000005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2.968</v>
          </cell>
        </row>
        <row r="229">
          <cell r="C229" t="str">
            <v>00Z26</v>
          </cell>
          <cell r="D229" t="str">
            <v>KTP Land Purchase</v>
          </cell>
          <cell r="E229" t="str">
            <v>All Other N.A. Truck Programs</v>
          </cell>
          <cell r="F229">
            <v>36495</v>
          </cell>
          <cell r="G229">
            <v>7.6779999999999999</v>
          </cell>
          <cell r="H229">
            <v>7.6779999999999999</v>
          </cell>
          <cell r="I229">
            <v>1</v>
          </cell>
          <cell r="J229">
            <v>7.6780000000000008</v>
          </cell>
          <cell r="K229">
            <v>7.6780000000000008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</row>
        <row r="230">
          <cell r="C230" t="str">
            <v>01900</v>
          </cell>
          <cell r="D230" t="str">
            <v>AFV (CNG/LPG) Programs OPD</v>
          </cell>
          <cell r="E230" t="str">
            <v>All Other N.A. Truck Programs</v>
          </cell>
          <cell r="F230">
            <v>37073</v>
          </cell>
          <cell r="G230">
            <v>0.5</v>
          </cell>
          <cell r="H230">
            <v>0.5</v>
          </cell>
          <cell r="I230">
            <v>1</v>
          </cell>
          <cell r="J230">
            <v>0.5</v>
          </cell>
          <cell r="K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0.5</v>
          </cell>
        </row>
        <row r="231">
          <cell r="C231" t="str">
            <v>01O19</v>
          </cell>
          <cell r="D231" t="str">
            <v>TAF -- Bed X-Tender</v>
          </cell>
          <cell r="E231" t="str">
            <v>All Other N.A. Truck Programs</v>
          </cell>
          <cell r="F231">
            <v>36557</v>
          </cell>
          <cell r="G231">
            <v>2</v>
          </cell>
          <cell r="H231">
            <v>2</v>
          </cell>
          <cell r="I231">
            <v>1</v>
          </cell>
          <cell r="J231">
            <v>2</v>
          </cell>
          <cell r="K231">
            <v>0</v>
          </cell>
          <cell r="L231">
            <v>2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2</v>
          </cell>
        </row>
        <row r="232">
          <cell r="C232" t="str">
            <v>01U90</v>
          </cell>
          <cell r="D232" t="str">
            <v>Capstone Qual - UN93/UN173</v>
          </cell>
          <cell r="E232" t="str">
            <v>All Other N.A. Truck Programs</v>
          </cell>
          <cell r="F232">
            <v>37073</v>
          </cell>
          <cell r="G232">
            <v>3.165</v>
          </cell>
          <cell r="H232">
            <v>3.165</v>
          </cell>
          <cell r="I232">
            <v>0.85</v>
          </cell>
          <cell r="J232">
            <v>2.6902500000000003</v>
          </cell>
          <cell r="K232">
            <v>0.32130000000000003</v>
          </cell>
          <cell r="L232">
            <v>2.3689500000000003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2.3689500000000003</v>
          </cell>
        </row>
        <row r="233">
          <cell r="C233" t="str">
            <v>01Z10</v>
          </cell>
          <cell r="D233" t="str">
            <v>P131/U137 C.S.E.P.</v>
          </cell>
          <cell r="E233" t="str">
            <v>All Other N.A. Truck Programs</v>
          </cell>
          <cell r="F233">
            <v>36739</v>
          </cell>
          <cell r="G233">
            <v>10.861000000000001</v>
          </cell>
          <cell r="H233">
            <v>6.1920000000000002</v>
          </cell>
          <cell r="I233">
            <v>0.13</v>
          </cell>
          <cell r="J233">
            <v>0.80496000000000012</v>
          </cell>
          <cell r="K233">
            <v>0.47190000000000004</v>
          </cell>
          <cell r="L233">
            <v>0.33306000000000002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0.33306000000000002</v>
          </cell>
        </row>
        <row r="234">
          <cell r="C234" t="str">
            <v>01Z11</v>
          </cell>
          <cell r="D234" t="str">
            <v>SuperCrewzer I (H215)</v>
          </cell>
          <cell r="E234" t="str">
            <v>All Other N.A. Truck Programs</v>
          </cell>
          <cell r="F234">
            <v>36761</v>
          </cell>
          <cell r="G234">
            <v>5.431</v>
          </cell>
          <cell r="H234">
            <v>2.4300000000000002</v>
          </cell>
          <cell r="I234">
            <v>1</v>
          </cell>
          <cell r="J234">
            <v>2.4300000000000002</v>
          </cell>
          <cell r="K234">
            <v>0.99199999999999999</v>
          </cell>
          <cell r="L234">
            <v>1.4379999999999999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1.4379999999999999</v>
          </cell>
        </row>
        <row r="235">
          <cell r="C235" t="str">
            <v>01Z20</v>
          </cell>
          <cell r="D235" t="str">
            <v>F650 22K GVW</v>
          </cell>
          <cell r="E235" t="str">
            <v>All Other N.A. Truck Programs</v>
          </cell>
          <cell r="F235">
            <v>37012</v>
          </cell>
          <cell r="G235">
            <v>7</v>
          </cell>
          <cell r="H235">
            <v>4</v>
          </cell>
          <cell r="I235">
            <v>1</v>
          </cell>
          <cell r="J235">
            <v>4</v>
          </cell>
          <cell r="K235">
            <v>0</v>
          </cell>
          <cell r="L235">
            <v>4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4</v>
          </cell>
        </row>
        <row r="236">
          <cell r="C236" t="str">
            <v>01Z22</v>
          </cell>
          <cell r="D236" t="str">
            <v>Harley-Davidson SuperCrew</v>
          </cell>
          <cell r="E236" t="str">
            <v>All Other N.A. Truck Programs</v>
          </cell>
          <cell r="F236">
            <v>36869</v>
          </cell>
          <cell r="G236">
            <v>5.1470000000000002</v>
          </cell>
          <cell r="H236">
            <v>3.8719999999999999</v>
          </cell>
          <cell r="I236">
            <v>1</v>
          </cell>
          <cell r="J236">
            <v>3.8719999999999999</v>
          </cell>
          <cell r="K236">
            <v>0.44500000000000001</v>
          </cell>
          <cell r="L236">
            <v>3.427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3.427</v>
          </cell>
        </row>
        <row r="237">
          <cell r="C237" t="str">
            <v>02620</v>
          </cell>
          <cell r="D237" t="str">
            <v>U204 Features Vehicle</v>
          </cell>
          <cell r="E237" t="str">
            <v>All Other N.A. Truck Programs</v>
          </cell>
          <cell r="F237">
            <v>37104</v>
          </cell>
          <cell r="G237">
            <v>9.69</v>
          </cell>
          <cell r="H237">
            <v>8.6289999999999996</v>
          </cell>
          <cell r="I237">
            <v>1</v>
          </cell>
          <cell r="J237">
            <v>8.6290000000000013</v>
          </cell>
          <cell r="K237">
            <v>0.18099999999999999</v>
          </cell>
          <cell r="L237">
            <v>8.2870000000000008</v>
          </cell>
          <cell r="M237">
            <v>8.1000000000000003E-2</v>
          </cell>
          <cell r="N237">
            <v>3.1E-2</v>
          </cell>
          <cell r="O237">
            <v>3.1E-2</v>
          </cell>
          <cell r="P237">
            <v>1.7999999999999999E-2</v>
          </cell>
          <cell r="Q237">
            <v>8.4480000000000022</v>
          </cell>
        </row>
        <row r="238">
          <cell r="C238" t="str">
            <v>02900</v>
          </cell>
          <cell r="D238" t="str">
            <v>AFV (CNG/LPG) Programs OPD</v>
          </cell>
          <cell r="E238" t="str">
            <v>All Other N.A. Truck Programs</v>
          </cell>
          <cell r="F238">
            <v>37438</v>
          </cell>
          <cell r="G238">
            <v>0.5</v>
          </cell>
          <cell r="H238">
            <v>0.5</v>
          </cell>
          <cell r="I238">
            <v>1</v>
          </cell>
          <cell r="J238">
            <v>0.5</v>
          </cell>
          <cell r="K238">
            <v>0</v>
          </cell>
          <cell r="L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0.5</v>
          </cell>
        </row>
        <row r="239">
          <cell r="C239" t="str">
            <v>02V32</v>
          </cell>
          <cell r="D239" t="str">
            <v>PN150 3.0L Vulcan Upgd Veh Ins</v>
          </cell>
          <cell r="E239" t="str">
            <v>All Other N.A. Truck Programs</v>
          </cell>
          <cell r="F239">
            <v>37104</v>
          </cell>
          <cell r="G239">
            <v>2.8290000000000002</v>
          </cell>
          <cell r="H239">
            <v>2.8290000000000002</v>
          </cell>
          <cell r="I239">
            <v>1</v>
          </cell>
          <cell r="J239">
            <v>2.8290000000000002</v>
          </cell>
          <cell r="K239">
            <v>0</v>
          </cell>
          <cell r="L239">
            <v>2.8290000000000002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2.8290000000000002</v>
          </cell>
        </row>
        <row r="240">
          <cell r="C240" t="str">
            <v>02X22</v>
          </cell>
          <cell r="D240" t="str">
            <v>2002 F-150 Harley-Davidson</v>
          </cell>
          <cell r="E240" t="str">
            <v>All Other N.A. Truck Programs</v>
          </cell>
          <cell r="F240">
            <v>37263</v>
          </cell>
          <cell r="G240">
            <v>7.5590000000000002</v>
          </cell>
          <cell r="H240">
            <v>3.53</v>
          </cell>
          <cell r="I240">
            <v>1</v>
          </cell>
          <cell r="J240">
            <v>3.53</v>
          </cell>
          <cell r="K240">
            <v>1.0999999999999999E-2</v>
          </cell>
          <cell r="L240">
            <v>2.0179999999999998</v>
          </cell>
          <cell r="M240">
            <v>1.5009999999999999</v>
          </cell>
          <cell r="N240">
            <v>0</v>
          </cell>
          <cell r="O240">
            <v>0</v>
          </cell>
          <cell r="P240">
            <v>0</v>
          </cell>
          <cell r="Q240">
            <v>3.5189999999999997</v>
          </cell>
        </row>
        <row r="241">
          <cell r="C241" t="str">
            <v>02Z12</v>
          </cell>
          <cell r="D241" t="str">
            <v>P131/U137 Electrical Architect</v>
          </cell>
          <cell r="E241" t="str">
            <v>All Other N.A. Truck Programs</v>
          </cell>
          <cell r="F241">
            <v>37104</v>
          </cell>
          <cell r="G241">
            <v>22</v>
          </cell>
          <cell r="H241">
            <v>9.3000000000000007</v>
          </cell>
          <cell r="I241">
            <v>1</v>
          </cell>
          <cell r="J241">
            <v>9.3000000000000007</v>
          </cell>
          <cell r="K241">
            <v>0</v>
          </cell>
          <cell r="L241">
            <v>9.3000000000000007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9.3000000000000007</v>
          </cell>
        </row>
        <row r="242">
          <cell r="C242" t="str">
            <v>02Z16</v>
          </cell>
          <cell r="D242" t="str">
            <v>Mexico Minor Truck Programs</v>
          </cell>
          <cell r="E242" t="str">
            <v>All Other N.A. Truck Programs</v>
          </cell>
          <cell r="F242">
            <v>37468</v>
          </cell>
          <cell r="G242">
            <v>5</v>
          </cell>
          <cell r="H242">
            <v>5</v>
          </cell>
          <cell r="I242">
            <v>1</v>
          </cell>
          <cell r="J242">
            <v>5</v>
          </cell>
          <cell r="K242">
            <v>0</v>
          </cell>
          <cell r="L242">
            <v>0</v>
          </cell>
          <cell r="M242">
            <v>5</v>
          </cell>
          <cell r="N242">
            <v>0</v>
          </cell>
          <cell r="O242">
            <v>0</v>
          </cell>
          <cell r="P242">
            <v>0</v>
          </cell>
          <cell r="Q242">
            <v>5</v>
          </cell>
        </row>
        <row r="243">
          <cell r="C243" t="str">
            <v>02Z20</v>
          </cell>
          <cell r="D243" t="str">
            <v>P131 Severe Duty Package</v>
          </cell>
          <cell r="E243" t="str">
            <v>All Other N.A. Truck Programs</v>
          </cell>
          <cell r="F243">
            <v>37104</v>
          </cell>
          <cell r="G243">
            <v>4</v>
          </cell>
          <cell r="H243">
            <v>3</v>
          </cell>
          <cell r="I243">
            <v>1</v>
          </cell>
          <cell r="J243">
            <v>3</v>
          </cell>
          <cell r="K243">
            <v>0</v>
          </cell>
          <cell r="L243">
            <v>3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3</v>
          </cell>
        </row>
        <row r="244">
          <cell r="C244" t="str">
            <v>02Z21</v>
          </cell>
          <cell r="D244" t="str">
            <v>PN96/P225 Program</v>
          </cell>
          <cell r="E244" t="str">
            <v>All Other N.A. Truck Programs</v>
          </cell>
          <cell r="F244">
            <v>37104</v>
          </cell>
          <cell r="G244">
            <v>17.399999999999999</v>
          </cell>
          <cell r="H244">
            <v>6.0049999999999999</v>
          </cell>
          <cell r="I244">
            <v>1</v>
          </cell>
          <cell r="J244">
            <v>6.0049999999999999</v>
          </cell>
          <cell r="K244">
            <v>0</v>
          </cell>
          <cell r="L244">
            <v>5.718</v>
          </cell>
          <cell r="M244">
            <v>0.28699999999999998</v>
          </cell>
          <cell r="N244">
            <v>0</v>
          </cell>
          <cell r="O244">
            <v>0</v>
          </cell>
          <cell r="P244">
            <v>0</v>
          </cell>
          <cell r="Q244">
            <v>6.0049999999999999</v>
          </cell>
        </row>
        <row r="245">
          <cell r="C245" t="str">
            <v>03900</v>
          </cell>
          <cell r="D245" t="str">
            <v>AFV (CNG/LPG) Programs OPD</v>
          </cell>
          <cell r="E245" t="str">
            <v>All Other N.A. Truck Programs</v>
          </cell>
          <cell r="F245">
            <v>37803</v>
          </cell>
          <cell r="G245">
            <v>1</v>
          </cell>
          <cell r="H245">
            <v>1</v>
          </cell>
          <cell r="I245">
            <v>1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  <cell r="O245">
            <v>0</v>
          </cell>
          <cell r="P245">
            <v>0</v>
          </cell>
          <cell r="Q245">
            <v>1</v>
          </cell>
        </row>
        <row r="246">
          <cell r="C246" t="str">
            <v>03P21</v>
          </cell>
          <cell r="D246" t="str">
            <v>6.0L Powerstroke Dsl into F53</v>
          </cell>
          <cell r="E246" t="str">
            <v>All Other N.A. Truck Programs</v>
          </cell>
          <cell r="F246">
            <v>37469</v>
          </cell>
          <cell r="G246">
            <v>6.9</v>
          </cell>
          <cell r="H246">
            <v>4.0999999999999996</v>
          </cell>
          <cell r="I246">
            <v>1</v>
          </cell>
          <cell r="J246">
            <v>4.0999999999999996</v>
          </cell>
          <cell r="K246">
            <v>0</v>
          </cell>
          <cell r="L246">
            <v>0.38400000000000001</v>
          </cell>
          <cell r="M246">
            <v>3.12</v>
          </cell>
          <cell r="N246">
            <v>0.59599999999999997</v>
          </cell>
          <cell r="O246">
            <v>0</v>
          </cell>
          <cell r="P246">
            <v>0</v>
          </cell>
          <cell r="Q246">
            <v>4.0999999999999996</v>
          </cell>
        </row>
        <row r="247">
          <cell r="C247" t="str">
            <v>03P54</v>
          </cell>
          <cell r="D247" t="str">
            <v>U222/228 - 4R75W</v>
          </cell>
          <cell r="E247" t="str">
            <v>All Other N.A. Truck Programs</v>
          </cell>
          <cell r="F247">
            <v>37469</v>
          </cell>
          <cell r="G247">
            <v>0.11700000000000001</v>
          </cell>
          <cell r="H247">
            <v>5.1999999999999998E-2</v>
          </cell>
          <cell r="I247">
            <v>0.36899999999999999</v>
          </cell>
          <cell r="J247">
            <v>1.9188E-2</v>
          </cell>
          <cell r="K247">
            <v>0</v>
          </cell>
          <cell r="L247">
            <v>5.9039999999999995E-3</v>
          </cell>
          <cell r="M247">
            <v>1.3284000000000001E-2</v>
          </cell>
          <cell r="N247">
            <v>0</v>
          </cell>
          <cell r="O247">
            <v>0</v>
          </cell>
          <cell r="P247">
            <v>0</v>
          </cell>
          <cell r="Q247">
            <v>1.9188E-2</v>
          </cell>
        </row>
        <row r="248">
          <cell r="C248" t="str">
            <v>03W01</v>
          </cell>
          <cell r="D248" t="str">
            <v>E-Series Customer Sat Program</v>
          </cell>
          <cell r="E248" t="str">
            <v>All Other N.A. Truck Programs</v>
          </cell>
          <cell r="F248">
            <v>37561</v>
          </cell>
          <cell r="G248">
            <v>22.867999999999999</v>
          </cell>
          <cell r="H248">
            <v>0.34499999999999997</v>
          </cell>
          <cell r="I248">
            <v>1</v>
          </cell>
          <cell r="J248">
            <v>0.34499999999999997</v>
          </cell>
          <cell r="K248">
            <v>0.34499999999999997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</row>
        <row r="249">
          <cell r="C249" t="str">
            <v>04900</v>
          </cell>
          <cell r="D249" t="str">
            <v>AFV (CNG/LPG) Programs OPD</v>
          </cell>
          <cell r="E249" t="str">
            <v>All Other N.A. Truck Programs</v>
          </cell>
          <cell r="F249">
            <v>38169</v>
          </cell>
          <cell r="G249">
            <v>1</v>
          </cell>
          <cell r="H249">
            <v>1</v>
          </cell>
          <cell r="I249">
            <v>1</v>
          </cell>
          <cell r="J249">
            <v>1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P249">
            <v>0</v>
          </cell>
          <cell r="Q249">
            <v>1</v>
          </cell>
        </row>
        <row r="250">
          <cell r="C250" t="str">
            <v>04P37</v>
          </cell>
          <cell r="D250" t="str">
            <v>5.4/6.8L 3V Veh. Inst.(V127)</v>
          </cell>
          <cell r="E250" t="str">
            <v>All Other N.A. Truck Programs</v>
          </cell>
          <cell r="F250">
            <v>37834</v>
          </cell>
          <cell r="G250">
            <v>31.1</v>
          </cell>
          <cell r="H250">
            <v>2.7</v>
          </cell>
          <cell r="I250">
            <v>1</v>
          </cell>
          <cell r="J250">
            <v>2.7</v>
          </cell>
          <cell r="K250">
            <v>0</v>
          </cell>
          <cell r="L250">
            <v>0</v>
          </cell>
          <cell r="M250">
            <v>0.27900000000000003</v>
          </cell>
          <cell r="N250">
            <v>2.0659999999999998</v>
          </cell>
          <cell r="O250">
            <v>0.35499999999999998</v>
          </cell>
          <cell r="P250">
            <v>0</v>
          </cell>
          <cell r="Q250">
            <v>2.7</v>
          </cell>
        </row>
        <row r="251">
          <cell r="C251" t="str">
            <v>04P53</v>
          </cell>
          <cell r="D251" t="str">
            <v>3.0L EP Diesel for U251</v>
          </cell>
          <cell r="E251" t="str">
            <v>All Other N.A. Truck Programs</v>
          </cell>
          <cell r="F251">
            <v>38018</v>
          </cell>
          <cell r="G251">
            <v>29.4</v>
          </cell>
          <cell r="H251">
            <v>19.600000000000001</v>
          </cell>
          <cell r="I251">
            <v>1</v>
          </cell>
          <cell r="J251">
            <v>19.600000000000001</v>
          </cell>
          <cell r="K251">
            <v>0</v>
          </cell>
          <cell r="L251">
            <v>0</v>
          </cell>
          <cell r="M251">
            <v>2.59</v>
          </cell>
          <cell r="N251">
            <v>11.035</v>
          </cell>
          <cell r="O251">
            <v>5.2850000000000001</v>
          </cell>
          <cell r="P251">
            <v>0.69</v>
          </cell>
          <cell r="Q251">
            <v>19.600000000000001</v>
          </cell>
        </row>
        <row r="252">
          <cell r="C252" t="str">
            <v>04P57</v>
          </cell>
          <cell r="D252" t="str">
            <v>V127 6.0L V8 Nav/A5R110W V Ins</v>
          </cell>
          <cell r="E252" t="str">
            <v>All Other N.A. Truck Programs</v>
          </cell>
          <cell r="F252">
            <v>37834</v>
          </cell>
          <cell r="G252">
            <v>28.1</v>
          </cell>
          <cell r="H252">
            <v>14.627000000000001</v>
          </cell>
          <cell r="I252">
            <v>1</v>
          </cell>
          <cell r="J252">
            <v>14.627000000000001</v>
          </cell>
          <cell r="K252">
            <v>0</v>
          </cell>
          <cell r="L252">
            <v>2E-3</v>
          </cell>
          <cell r="M252">
            <v>1.3919999999999999</v>
          </cell>
          <cell r="N252">
            <v>11.092000000000001</v>
          </cell>
          <cell r="O252">
            <v>2.141</v>
          </cell>
          <cell r="P252">
            <v>0</v>
          </cell>
          <cell r="Q252">
            <v>14.627000000000001</v>
          </cell>
        </row>
        <row r="253">
          <cell r="C253" t="str">
            <v>04P58</v>
          </cell>
          <cell r="D253" t="str">
            <v>6.0L V8 Navistar for V127</v>
          </cell>
          <cell r="E253" t="str">
            <v>All Other N.A. Truck Programs</v>
          </cell>
          <cell r="F253">
            <v>37834</v>
          </cell>
          <cell r="G253">
            <v>7.4</v>
          </cell>
          <cell r="H253">
            <v>5.2</v>
          </cell>
          <cell r="I253">
            <v>1</v>
          </cell>
          <cell r="J253">
            <v>5.2</v>
          </cell>
          <cell r="K253">
            <v>0</v>
          </cell>
          <cell r="L253">
            <v>6.0000000000000001E-3</v>
          </cell>
          <cell r="M253">
            <v>1.958</v>
          </cell>
          <cell r="N253">
            <v>2.6560000000000001</v>
          </cell>
          <cell r="O253">
            <v>0.57999999999999996</v>
          </cell>
          <cell r="P253">
            <v>0</v>
          </cell>
          <cell r="Q253">
            <v>5.2</v>
          </cell>
        </row>
        <row r="254">
          <cell r="C254" t="str">
            <v>04W03</v>
          </cell>
          <cell r="D254" t="str">
            <v>VN127 5.4L 3V V8 CNG Veh Inst</v>
          </cell>
          <cell r="E254" t="str">
            <v>All Other N.A. Truck Programs</v>
          </cell>
          <cell r="F254">
            <v>37865</v>
          </cell>
          <cell r="G254">
            <v>10.6</v>
          </cell>
          <cell r="H254">
            <v>0.96799999999999997</v>
          </cell>
          <cell r="I254">
            <v>1</v>
          </cell>
          <cell r="J254">
            <v>0.96799999999999997</v>
          </cell>
          <cell r="K254">
            <v>0</v>
          </cell>
          <cell r="L254">
            <v>0</v>
          </cell>
          <cell r="M254">
            <v>6.7000000000000004E-2</v>
          </cell>
          <cell r="N254">
            <v>0.68899999999999995</v>
          </cell>
          <cell r="O254">
            <v>0.21199999999999999</v>
          </cell>
          <cell r="P254">
            <v>0</v>
          </cell>
          <cell r="Q254">
            <v>0.96799999999999997</v>
          </cell>
        </row>
        <row r="255">
          <cell r="C255" t="str">
            <v>04X06</v>
          </cell>
          <cell r="D255" t="str">
            <v>P131 3 Valve Actions Veh. Inst</v>
          </cell>
          <cell r="E255" t="str">
            <v>All Other N.A. Truck Programs</v>
          </cell>
          <cell r="F255">
            <v>37834</v>
          </cell>
          <cell r="G255">
            <v>94.7</v>
          </cell>
          <cell r="H255">
            <v>28.8</v>
          </cell>
          <cell r="I255">
            <v>1</v>
          </cell>
          <cell r="J255">
            <v>28.8</v>
          </cell>
          <cell r="K255">
            <v>0</v>
          </cell>
          <cell r="L255">
            <v>6.000000000000001E-3</v>
          </cell>
          <cell r="M255">
            <v>2.9939999999999998</v>
          </cell>
          <cell r="N255">
            <v>22.007999999999999</v>
          </cell>
          <cell r="O255">
            <v>3.7920000000000003</v>
          </cell>
          <cell r="P255">
            <v>0</v>
          </cell>
          <cell r="Q255">
            <v>28.8</v>
          </cell>
        </row>
        <row r="256">
          <cell r="C256" t="str">
            <v>05900</v>
          </cell>
          <cell r="D256" t="str">
            <v>AFV (CNG/LPG) Programs OPD</v>
          </cell>
          <cell r="E256" t="str">
            <v>All Other N.A. Truck Programs</v>
          </cell>
          <cell r="F256">
            <v>38534</v>
          </cell>
          <cell r="G256">
            <v>1</v>
          </cell>
          <cell r="H256">
            <v>1</v>
          </cell>
          <cell r="I256">
            <v>1</v>
          </cell>
          <cell r="J256">
            <v>1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Q256">
            <v>1</v>
          </cell>
        </row>
        <row r="257">
          <cell r="C257" t="str">
            <v>05P21</v>
          </cell>
          <cell r="D257" t="str">
            <v>4.0LSOHC VCT P221 Veh. Inst</v>
          </cell>
          <cell r="E257" t="str">
            <v>All Other N.A. Truck Programs</v>
          </cell>
          <cell r="F257">
            <v>38200</v>
          </cell>
          <cell r="G257">
            <v>14.15</v>
          </cell>
          <cell r="H257">
            <v>7.4</v>
          </cell>
          <cell r="I257">
            <v>1</v>
          </cell>
          <cell r="J257">
            <v>7.4</v>
          </cell>
          <cell r="K257">
            <v>0</v>
          </cell>
          <cell r="L257">
            <v>0</v>
          </cell>
          <cell r="M257">
            <v>0.01</v>
          </cell>
          <cell r="N257">
            <v>2.786</v>
          </cell>
          <cell r="O257">
            <v>3.78</v>
          </cell>
          <cell r="P257">
            <v>0.82399999999999995</v>
          </cell>
          <cell r="Q257">
            <v>7.4</v>
          </cell>
        </row>
        <row r="258">
          <cell r="C258" t="str">
            <v>05P38</v>
          </cell>
          <cell r="D258" t="str">
            <v>P254 6.8L 3V  V10 LPG Veh Inst</v>
          </cell>
          <cell r="E258" t="str">
            <v>All Other N.A. Truck Programs</v>
          </cell>
          <cell r="F258">
            <v>38231</v>
          </cell>
          <cell r="G258">
            <v>18</v>
          </cell>
          <cell r="H258">
            <v>0.96799999999999997</v>
          </cell>
          <cell r="I258">
            <v>1</v>
          </cell>
          <cell r="J258">
            <v>0.96799999999999997</v>
          </cell>
          <cell r="K258">
            <v>0</v>
          </cell>
          <cell r="L258">
            <v>0</v>
          </cell>
          <cell r="M258">
            <v>0</v>
          </cell>
          <cell r="N258">
            <v>6.7000000000000004E-2</v>
          </cell>
          <cell r="O258">
            <v>0.68899999999999995</v>
          </cell>
          <cell r="P258">
            <v>0.21199999999999999</v>
          </cell>
          <cell r="Q258">
            <v>0.96799999999999997</v>
          </cell>
        </row>
        <row r="259">
          <cell r="C259" t="str">
            <v>05P39</v>
          </cell>
          <cell r="D259" t="str">
            <v>P254 6.8L 3V Mod V10 LPG</v>
          </cell>
          <cell r="E259" t="str">
            <v>All Other N.A. Truck Programs</v>
          </cell>
          <cell r="F259">
            <v>38231</v>
          </cell>
          <cell r="G259">
            <v>6</v>
          </cell>
          <cell r="H259">
            <v>2.895</v>
          </cell>
          <cell r="I259">
            <v>1</v>
          </cell>
          <cell r="J259">
            <v>2.895</v>
          </cell>
          <cell r="K259">
            <v>0</v>
          </cell>
          <cell r="L259">
            <v>0</v>
          </cell>
          <cell r="M259">
            <v>1E-3</v>
          </cell>
          <cell r="N259">
            <v>0.86299999999999999</v>
          </cell>
          <cell r="O259">
            <v>1.5529999999999999</v>
          </cell>
          <cell r="P259">
            <v>0.47799999999999998</v>
          </cell>
          <cell r="Q259">
            <v>2.895</v>
          </cell>
        </row>
        <row r="260">
          <cell r="C260" t="str">
            <v>05P42</v>
          </cell>
          <cell r="D260" t="str">
            <v>4.6L 3V V8 FOR P221</v>
          </cell>
          <cell r="E260" t="str">
            <v>All Other N.A. Truck Programs</v>
          </cell>
          <cell r="F260">
            <v>38200</v>
          </cell>
          <cell r="G260">
            <v>18.8</v>
          </cell>
          <cell r="H260">
            <v>0.9</v>
          </cell>
          <cell r="I260">
            <v>1</v>
          </cell>
          <cell r="J260">
            <v>0.9</v>
          </cell>
          <cell r="K260">
            <v>0</v>
          </cell>
          <cell r="L260">
            <v>0</v>
          </cell>
          <cell r="M260">
            <v>2E-3</v>
          </cell>
          <cell r="N260">
            <v>0.34</v>
          </cell>
          <cell r="O260">
            <v>0.45900000000000002</v>
          </cell>
          <cell r="P260">
            <v>9.9000000000000005E-2</v>
          </cell>
          <cell r="Q260">
            <v>0.9</v>
          </cell>
        </row>
        <row r="261">
          <cell r="C261" t="str">
            <v>05P44</v>
          </cell>
          <cell r="D261" t="str">
            <v>P221 5.4L 3V Mod V8 CNG</v>
          </cell>
          <cell r="E261" t="str">
            <v>All Other N.A. Truck Programs</v>
          </cell>
          <cell r="F261">
            <v>38443</v>
          </cell>
          <cell r="G261">
            <v>7</v>
          </cell>
          <cell r="H261">
            <v>3.1840000000000002</v>
          </cell>
          <cell r="I261">
            <v>1</v>
          </cell>
          <cell r="J261">
            <v>3.1840000000000002</v>
          </cell>
          <cell r="K261">
            <v>0</v>
          </cell>
          <cell r="L261">
            <v>0</v>
          </cell>
          <cell r="M261">
            <v>0</v>
          </cell>
          <cell r="N261">
            <v>0.249</v>
          </cell>
          <cell r="O261">
            <v>1.653</v>
          </cell>
          <cell r="P261">
            <v>1.0720000000000001</v>
          </cell>
          <cell r="Q261">
            <v>2.9740000000000002</v>
          </cell>
        </row>
        <row r="262">
          <cell r="C262" t="str">
            <v>05P45</v>
          </cell>
          <cell r="D262" t="str">
            <v>P221 5.4L 3V CNG V8 Veh. Inst.</v>
          </cell>
          <cell r="E262" t="str">
            <v>All Other N.A. Truck Programs</v>
          </cell>
          <cell r="F262">
            <v>38443</v>
          </cell>
          <cell r="G262">
            <v>14</v>
          </cell>
          <cell r="H262">
            <v>0.96799999999999997</v>
          </cell>
          <cell r="I262">
            <v>1</v>
          </cell>
          <cell r="J262">
            <v>0.96800000000000008</v>
          </cell>
          <cell r="K262">
            <v>0</v>
          </cell>
          <cell r="L262">
            <v>0</v>
          </cell>
          <cell r="M262">
            <v>0</v>
          </cell>
          <cell r="N262">
            <v>7.0000000000000001E-3</v>
          </cell>
          <cell r="O262">
            <v>0.27100000000000002</v>
          </cell>
          <cell r="P262">
            <v>0.68</v>
          </cell>
          <cell r="Q262">
            <v>0.95800000000000007</v>
          </cell>
        </row>
        <row r="263">
          <cell r="C263" t="str">
            <v>06P10</v>
          </cell>
          <cell r="D263" t="str">
            <v>U152 4.6L Mod 3V Installat.</v>
          </cell>
          <cell r="E263" t="str">
            <v>All Other N.A. Truck Programs</v>
          </cell>
          <cell r="F263">
            <v>38565</v>
          </cell>
          <cell r="G263">
            <v>14.1</v>
          </cell>
          <cell r="H263">
            <v>1.3</v>
          </cell>
          <cell r="I263">
            <v>1</v>
          </cell>
          <cell r="J263">
            <v>1.3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0.13600000000000001</v>
          </cell>
          <cell r="P263">
            <v>0.99099999999999999</v>
          </cell>
          <cell r="Q263">
            <v>1.127</v>
          </cell>
        </row>
        <row r="264">
          <cell r="C264" t="str">
            <v>07D01</v>
          </cell>
          <cell r="D264" t="str">
            <v>U293 (C/D Size HEV) freshening</v>
          </cell>
          <cell r="E264" t="str">
            <v>All Other N.A. Truck Programs</v>
          </cell>
          <cell r="F264">
            <v>39142</v>
          </cell>
          <cell r="G264">
            <v>100</v>
          </cell>
          <cell r="H264">
            <v>56.258000000000003</v>
          </cell>
          <cell r="I264">
            <v>1</v>
          </cell>
          <cell r="J264">
            <v>56.258000000000003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1.869</v>
          </cell>
          <cell r="Q264">
            <v>1.869</v>
          </cell>
        </row>
        <row r="265">
          <cell r="C265" t="str">
            <v>07U02</v>
          </cell>
          <cell r="D265" t="str">
            <v>U324 A6R38-ZF A/T Vehicle Inst</v>
          </cell>
          <cell r="E265" t="str">
            <v>All Other N.A. Truck Programs</v>
          </cell>
          <cell r="F265">
            <v>38930</v>
          </cell>
          <cell r="G265">
            <v>15</v>
          </cell>
          <cell r="H265">
            <v>8.44</v>
          </cell>
          <cell r="I265">
            <v>1</v>
          </cell>
          <cell r="J265">
            <v>8.44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2E-3</v>
          </cell>
          <cell r="P265">
            <v>0.88400000000000001</v>
          </cell>
          <cell r="Q265">
            <v>0.88600000000000001</v>
          </cell>
        </row>
        <row r="266">
          <cell r="C266" t="str">
            <v>07V10</v>
          </cell>
          <cell r="D266" t="str">
            <v>P273 Ranger Freshening</v>
          </cell>
          <cell r="E266" t="str">
            <v>All Other N.A. Truck Programs</v>
          </cell>
          <cell r="F266">
            <v>39203</v>
          </cell>
          <cell r="G266">
            <v>313</v>
          </cell>
          <cell r="H266">
            <v>177.25899999999999</v>
          </cell>
          <cell r="I266">
            <v>1</v>
          </cell>
          <cell r="J266">
            <v>177.25899999999999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1.26</v>
          </cell>
          <cell r="Q266">
            <v>1.26</v>
          </cell>
        </row>
        <row r="267">
          <cell r="C267" t="str">
            <v>08501</v>
          </cell>
          <cell r="D267" t="str">
            <v>U251 Major Fresh - Phase 2</v>
          </cell>
          <cell r="E267" t="str">
            <v>All Other N.A. Truck Programs</v>
          </cell>
          <cell r="F267">
            <v>39479</v>
          </cell>
          <cell r="G267">
            <v>1116.7</v>
          </cell>
          <cell r="H267">
            <v>727.84299999999996</v>
          </cell>
          <cell r="I267">
            <v>0.92400000000000004</v>
          </cell>
          <cell r="J267">
            <v>672.52693199999999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1.622544</v>
          </cell>
          <cell r="Q267">
            <v>1.622544</v>
          </cell>
        </row>
        <row r="268">
          <cell r="C268" t="str">
            <v>08P13</v>
          </cell>
          <cell r="D268" t="str">
            <v>P273 4.1L V6 Installation</v>
          </cell>
          <cell r="E268" t="str">
            <v>All Other N.A. Truck Programs</v>
          </cell>
          <cell r="F268">
            <v>39661</v>
          </cell>
          <cell r="G268">
            <v>14.35</v>
          </cell>
          <cell r="H268">
            <v>7.4089999999999998</v>
          </cell>
          <cell r="I268">
            <v>1</v>
          </cell>
          <cell r="J268">
            <v>7.4089999999999998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</row>
        <row r="269">
          <cell r="C269" t="str">
            <v>08P20</v>
          </cell>
          <cell r="D269" t="str">
            <v>P221 3.8L SOHC V6 Veh Inst</v>
          </cell>
          <cell r="E269" t="str">
            <v>All Other N.A. Truck Programs</v>
          </cell>
          <cell r="F269">
            <v>39295</v>
          </cell>
          <cell r="G269">
            <v>14</v>
          </cell>
          <cell r="H269">
            <v>8.907</v>
          </cell>
          <cell r="I269">
            <v>1</v>
          </cell>
          <cell r="J269">
            <v>8.907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2E-3</v>
          </cell>
          <cell r="Q269">
            <v>2E-3</v>
          </cell>
        </row>
        <row r="270">
          <cell r="C270" t="str">
            <v>08U00</v>
          </cell>
          <cell r="D270" t="str">
            <v>U324/326 Minor Freshening</v>
          </cell>
          <cell r="E270" t="str">
            <v>All Other N.A. Truck Programs</v>
          </cell>
          <cell r="F270">
            <v>39295</v>
          </cell>
          <cell r="G270">
            <v>250</v>
          </cell>
          <cell r="H270">
            <v>141.43100000000001</v>
          </cell>
          <cell r="I270">
            <v>0.8</v>
          </cell>
          <cell r="J270">
            <v>113.1448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1.9199999999999998E-2</v>
          </cell>
          <cell r="Q270">
            <v>1.9199999999999998E-2</v>
          </cell>
        </row>
        <row r="271">
          <cell r="C271" t="str">
            <v>08W01</v>
          </cell>
          <cell r="D271" t="str">
            <v>V255 E-Series Major Fresh</v>
          </cell>
          <cell r="E271" t="str">
            <v>All Other N.A. Truck Programs</v>
          </cell>
          <cell r="F271">
            <v>39295</v>
          </cell>
          <cell r="G271">
            <v>275</v>
          </cell>
          <cell r="H271">
            <v>158</v>
          </cell>
          <cell r="I271">
            <v>1</v>
          </cell>
          <cell r="J271">
            <v>158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2.8000000000000001E-2</v>
          </cell>
          <cell r="Q271">
            <v>2.8000000000000001E-2</v>
          </cell>
        </row>
        <row r="272">
          <cell r="C272" t="str">
            <v>08X03</v>
          </cell>
          <cell r="D272" t="str">
            <v>P221 Freshening</v>
          </cell>
          <cell r="E272" t="str">
            <v>All Other N.A. Truck Programs</v>
          </cell>
          <cell r="F272">
            <v>39295</v>
          </cell>
          <cell r="G272">
            <v>258.60000000000002</v>
          </cell>
          <cell r="H272">
            <v>129.97</v>
          </cell>
          <cell r="I272">
            <v>1</v>
          </cell>
          <cell r="J272">
            <v>129.97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2.4E-2</v>
          </cell>
          <cell r="Q272">
            <v>2.4E-2</v>
          </cell>
        </row>
        <row r="273">
          <cell r="C273" t="str">
            <v>08Z00</v>
          </cell>
          <cell r="D273" t="str">
            <v>U/P254 Minor Freshening</v>
          </cell>
          <cell r="E273" t="str">
            <v>All Other N.A. Truck Programs</v>
          </cell>
          <cell r="F273">
            <v>39295</v>
          </cell>
          <cell r="G273">
            <v>275</v>
          </cell>
          <cell r="H273">
            <v>155.57300000000001</v>
          </cell>
          <cell r="I273">
            <v>1</v>
          </cell>
          <cell r="J273">
            <v>155.57300000000004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2.8000000000000004E-2</v>
          </cell>
          <cell r="Q273">
            <v>2.8000000000000004E-2</v>
          </cell>
        </row>
        <row r="274">
          <cell r="C274" t="str">
            <v>09600</v>
          </cell>
          <cell r="D274" t="str">
            <v>U242 Escape minor freshening</v>
          </cell>
          <cell r="E274" t="str">
            <v>All Other N.A. Truck Programs</v>
          </cell>
          <cell r="F274">
            <v>39753</v>
          </cell>
          <cell r="G274">
            <v>50</v>
          </cell>
          <cell r="H274">
            <v>28.132999999999999</v>
          </cell>
          <cell r="I274">
            <v>1</v>
          </cell>
          <cell r="J274">
            <v>28.132999999999999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</row>
        <row r="275">
          <cell r="C275" t="str">
            <v>10U00</v>
          </cell>
          <cell r="D275" t="str">
            <v>U324/326  Major Freshening</v>
          </cell>
          <cell r="E275" t="str">
            <v>All Other N.A. Truck Programs</v>
          </cell>
          <cell r="F275">
            <v>40026</v>
          </cell>
          <cell r="G275">
            <v>1250</v>
          </cell>
          <cell r="H275">
            <v>803.08699999999999</v>
          </cell>
          <cell r="I275">
            <v>0.8</v>
          </cell>
          <cell r="J275">
            <v>642.46960000000001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</row>
        <row r="276">
          <cell r="C276" t="str">
            <v>10V01</v>
          </cell>
          <cell r="D276" t="str">
            <v>P273 6R70 A/T Veh. Install</v>
          </cell>
          <cell r="E276" t="str">
            <v>All Other N.A. Truck Programs</v>
          </cell>
          <cell r="F276">
            <v>40026</v>
          </cell>
          <cell r="G276">
            <v>15</v>
          </cell>
          <cell r="H276">
            <v>8.4849999999999994</v>
          </cell>
          <cell r="I276">
            <v>1</v>
          </cell>
          <cell r="J276">
            <v>8.4849999999999994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</row>
        <row r="277">
          <cell r="C277" t="str">
            <v>10X20</v>
          </cell>
          <cell r="D277" t="str">
            <v>P221/Supercrew Major Fresh</v>
          </cell>
          <cell r="E277" t="str">
            <v>All Other N.A. Truck Programs</v>
          </cell>
          <cell r="F277">
            <v>40118</v>
          </cell>
          <cell r="G277">
            <v>600</v>
          </cell>
          <cell r="H277">
            <v>391.06900000000002</v>
          </cell>
          <cell r="I277">
            <v>1</v>
          </cell>
          <cell r="J277">
            <v>391.06900000000002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</row>
        <row r="278">
          <cell r="C278" t="str">
            <v>11500</v>
          </cell>
          <cell r="D278" t="str">
            <v>U251 Minor Fresh (Incl. MNTR)</v>
          </cell>
          <cell r="E278" t="str">
            <v>All Other N.A. Truck Programs</v>
          </cell>
          <cell r="F278">
            <v>40391</v>
          </cell>
          <cell r="G278">
            <v>300</v>
          </cell>
          <cell r="H278">
            <v>169.715</v>
          </cell>
          <cell r="I278">
            <v>0.66700000000000004</v>
          </cell>
          <cell r="J278">
            <v>113.199905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</row>
        <row r="279">
          <cell r="C279" t="str">
            <v>11600</v>
          </cell>
          <cell r="D279" t="str">
            <v>U242 Escape Ford Share Major</v>
          </cell>
          <cell r="E279" t="str">
            <v>All Other N.A. Truck Programs</v>
          </cell>
          <cell r="F279">
            <v>40483</v>
          </cell>
          <cell r="G279">
            <v>567</v>
          </cell>
          <cell r="H279">
            <v>371.38499999999999</v>
          </cell>
          <cell r="I279">
            <v>1</v>
          </cell>
          <cell r="J279">
            <v>371.38499999999999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</row>
        <row r="280">
          <cell r="C280" t="str">
            <v>11D01</v>
          </cell>
          <cell r="D280" t="str">
            <v>U293 (C/D Size HEV) freshing</v>
          </cell>
          <cell r="E280" t="str">
            <v>All Other N.A. Truck Programs</v>
          </cell>
          <cell r="F280">
            <v>40391</v>
          </cell>
          <cell r="G280">
            <v>100</v>
          </cell>
          <cell r="H280">
            <v>56.258000000000003</v>
          </cell>
          <cell r="I280">
            <v>1</v>
          </cell>
          <cell r="J280">
            <v>56.258000000000003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</row>
        <row r="281">
          <cell r="C281" t="str">
            <v>11U03</v>
          </cell>
          <cell r="D281" t="str">
            <v>U324 Mid Cycle Action</v>
          </cell>
          <cell r="E281" t="str">
            <v>All Other N.A. Truck Programs</v>
          </cell>
          <cell r="F281">
            <v>40391</v>
          </cell>
          <cell r="G281">
            <v>20</v>
          </cell>
          <cell r="H281">
            <v>11.250999999999999</v>
          </cell>
          <cell r="I281">
            <v>1</v>
          </cell>
          <cell r="J281">
            <v>11.250999999999999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</row>
        <row r="282">
          <cell r="C282" t="str">
            <v>11V00</v>
          </cell>
          <cell r="D282" t="str">
            <v>P273 Ranger Minor Fresh</v>
          </cell>
          <cell r="E282" t="str">
            <v>All Other N.A. Truck Programs</v>
          </cell>
          <cell r="F282">
            <v>40391</v>
          </cell>
          <cell r="G282">
            <v>138</v>
          </cell>
          <cell r="H282">
            <v>77.831999999999994</v>
          </cell>
          <cell r="I282">
            <v>1</v>
          </cell>
          <cell r="J282">
            <v>77.831999999999994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</row>
        <row r="283">
          <cell r="C283" t="str">
            <v>11W01</v>
          </cell>
          <cell r="D283" t="str">
            <v>V255 E-Series Minor Fresh</v>
          </cell>
          <cell r="E283" t="str">
            <v>All Other N.A. Truck Programs</v>
          </cell>
          <cell r="F283">
            <v>40391</v>
          </cell>
          <cell r="G283">
            <v>150</v>
          </cell>
          <cell r="H283">
            <v>84.856999999999999</v>
          </cell>
          <cell r="I283">
            <v>1</v>
          </cell>
          <cell r="J283">
            <v>84.856999999999999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</row>
        <row r="284">
          <cell r="C284" t="str">
            <v>11Z20</v>
          </cell>
          <cell r="D284" t="str">
            <v>U254/P254 Major Fresh</v>
          </cell>
          <cell r="E284" t="str">
            <v>All Other N.A. Truck Programs</v>
          </cell>
          <cell r="F284">
            <v>40391</v>
          </cell>
          <cell r="G284">
            <v>475</v>
          </cell>
          <cell r="H284">
            <v>320.197</v>
          </cell>
          <cell r="I284">
            <v>1</v>
          </cell>
          <cell r="J284">
            <v>320.19700000000006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</row>
        <row r="285">
          <cell r="C285" t="str">
            <v>95P54</v>
          </cell>
          <cell r="D285" t="str">
            <v>HIGH VOL V6 (415K)</v>
          </cell>
          <cell r="E285" t="str">
            <v>All Other Powertrain</v>
          </cell>
          <cell r="F285">
            <v>34547</v>
          </cell>
          <cell r="G285">
            <v>1139.4390000000001</v>
          </cell>
          <cell r="H285">
            <v>863.06700000000001</v>
          </cell>
          <cell r="I285">
            <v>0.9</v>
          </cell>
          <cell r="J285">
            <v>776.76030000000003</v>
          </cell>
          <cell r="K285">
            <v>7.3800000000000004E-2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</row>
        <row r="286">
          <cell r="C286" t="str">
            <v>96Y32</v>
          </cell>
          <cell r="D286" t="str">
            <v>ESSEX DUAL INDUCTION</v>
          </cell>
          <cell r="E286" t="str">
            <v>All Other Powertrain</v>
          </cell>
          <cell r="F286">
            <v>34912</v>
          </cell>
          <cell r="G286">
            <v>345.42099999999999</v>
          </cell>
          <cell r="H286">
            <v>237.32900000000001</v>
          </cell>
          <cell r="I286">
            <v>1</v>
          </cell>
          <cell r="J286">
            <v>237.32900000000004</v>
          </cell>
          <cell r="K286">
            <v>2.3E-2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</row>
        <row r="287">
          <cell r="C287" t="str">
            <v>97P49</v>
          </cell>
          <cell r="D287" t="str">
            <v>UN93/PN96 PT CAPACITY</v>
          </cell>
          <cell r="E287" t="str">
            <v>All Other Powertrain</v>
          </cell>
          <cell r="F287">
            <v>35278</v>
          </cell>
          <cell r="G287">
            <v>398.495</v>
          </cell>
          <cell r="H287">
            <v>336.62400000000002</v>
          </cell>
          <cell r="I287">
            <v>0.99968213793431238</v>
          </cell>
          <cell r="J287">
            <v>336.517</v>
          </cell>
          <cell r="K287">
            <v>1.6679999999999999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</row>
        <row r="288">
          <cell r="C288" t="str">
            <v>97Y27</v>
          </cell>
          <cell r="D288" t="str">
            <v>4.0L SOHC/EI &amp; 5R55E-EUROPE</v>
          </cell>
          <cell r="E288" t="str">
            <v>All Other Powertrain</v>
          </cell>
          <cell r="F288">
            <v>35278</v>
          </cell>
          <cell r="G288">
            <v>445.73599999999999</v>
          </cell>
          <cell r="H288">
            <v>283.303</v>
          </cell>
          <cell r="I288">
            <v>0.83922086952838482</v>
          </cell>
          <cell r="J288">
            <v>237.75379000000001</v>
          </cell>
          <cell r="K288">
            <v>5.7462799999999996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</row>
        <row r="289">
          <cell r="C289" t="str">
            <v>97Y28</v>
          </cell>
          <cell r="D289" t="str">
            <v>A5LD-EN TRANS</v>
          </cell>
          <cell r="E289" t="str">
            <v>All Other Powertrain</v>
          </cell>
          <cell r="F289">
            <v>35278</v>
          </cell>
          <cell r="G289">
            <v>100.85299999999999</v>
          </cell>
          <cell r="H289">
            <v>76.587999999999994</v>
          </cell>
          <cell r="I289">
            <v>0.61066224473807917</v>
          </cell>
          <cell r="J289">
            <v>46.769400000000005</v>
          </cell>
          <cell r="K289">
            <v>0.18180000000000002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</row>
        <row r="290">
          <cell r="C290" t="str">
            <v>97Y31</v>
          </cell>
          <cell r="D290" t="str">
            <v>ESSEX CAPACITY P</v>
          </cell>
          <cell r="E290" t="str">
            <v>All Other Powertrain</v>
          </cell>
          <cell r="F290">
            <v>35278</v>
          </cell>
          <cell r="G290">
            <v>3.2000000000000001E-2</v>
          </cell>
          <cell r="H290">
            <v>3.2000000000000001E-2</v>
          </cell>
          <cell r="I290">
            <v>1</v>
          </cell>
          <cell r="J290">
            <v>3.2000000000000001E-2</v>
          </cell>
          <cell r="K290">
            <v>1.3000000000000001E-2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</row>
        <row r="291">
          <cell r="C291" t="str">
            <v>99438</v>
          </cell>
          <cell r="D291" t="str">
            <v>1999 3.8L/4.2L IMPROVEMENTS</v>
          </cell>
          <cell r="E291" t="str">
            <v>All Other Powertrain</v>
          </cell>
          <cell r="F291">
            <v>36008</v>
          </cell>
          <cell r="G291">
            <v>107.22</v>
          </cell>
          <cell r="H291">
            <v>49.86</v>
          </cell>
          <cell r="I291">
            <v>1</v>
          </cell>
          <cell r="J291">
            <v>49.86</v>
          </cell>
          <cell r="K291">
            <v>0.41200000000000003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</row>
        <row r="292">
          <cell r="C292" t="str">
            <v>99F81</v>
          </cell>
          <cell r="D292" t="str">
            <v>5R55N/W/4R70W-(F)  5R55N-(T)</v>
          </cell>
          <cell r="E292" t="str">
            <v>All Other Powertrain</v>
          </cell>
          <cell r="F292">
            <v>36241</v>
          </cell>
          <cell r="G292">
            <v>404.40199999999999</v>
          </cell>
          <cell r="H292">
            <v>262.00599999999997</v>
          </cell>
          <cell r="I292">
            <v>0.17675178431028296</v>
          </cell>
          <cell r="J292">
            <v>46.310027999999996</v>
          </cell>
          <cell r="K292">
            <v>2.5554810000000003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</row>
        <row r="293">
          <cell r="C293" t="str">
            <v>99S51</v>
          </cell>
          <cell r="D293" t="str">
            <v>Bordeaux A4LD Cap Expansion</v>
          </cell>
          <cell r="E293" t="str">
            <v>All Other Powertrain</v>
          </cell>
          <cell r="F293">
            <v>36312</v>
          </cell>
          <cell r="G293">
            <v>24.596</v>
          </cell>
          <cell r="H293">
            <v>13.081</v>
          </cell>
          <cell r="I293">
            <v>0.9870000000000001</v>
          </cell>
          <cell r="J293">
            <v>12.910947</v>
          </cell>
          <cell r="K293">
            <v>10.144386000000001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</row>
        <row r="294">
          <cell r="C294" t="str">
            <v>99S52</v>
          </cell>
          <cell r="D294" t="str">
            <v>1999 MTX75 CAPACITY (COLOGNE)</v>
          </cell>
          <cell r="E294" t="str">
            <v>All Other Powertrain</v>
          </cell>
          <cell r="F294">
            <v>36008</v>
          </cell>
          <cell r="G294">
            <v>177.76900000000001</v>
          </cell>
          <cell r="H294">
            <v>130.095</v>
          </cell>
          <cell r="I294">
            <v>0.40699999999999997</v>
          </cell>
          <cell r="J294">
            <v>52.948664999999998</v>
          </cell>
          <cell r="K294">
            <v>1.6280000000000001E-3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</row>
        <row r="295">
          <cell r="C295" t="str">
            <v>00L25</v>
          </cell>
          <cell r="D295" t="str">
            <v>2.0L CVH PISTON COAT</v>
          </cell>
          <cell r="E295" t="str">
            <v>All Other Powertrain</v>
          </cell>
          <cell r="F295">
            <v>36312</v>
          </cell>
          <cell r="G295">
            <v>5.5E-2</v>
          </cell>
          <cell r="H295">
            <v>5.2999999999999999E-2</v>
          </cell>
          <cell r="I295">
            <v>1</v>
          </cell>
          <cell r="J295">
            <v>5.2999999999999999E-2</v>
          </cell>
          <cell r="K295">
            <v>5.2999999999999999E-2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</row>
        <row r="296">
          <cell r="C296" t="str">
            <v>00P86</v>
          </cell>
          <cell r="D296" t="str">
            <v>FN-Post Job1 Dfrd F&amp;T Reqts</v>
          </cell>
          <cell r="E296" t="str">
            <v>All Other Powertrain</v>
          </cell>
          <cell r="F296">
            <v>36708</v>
          </cell>
          <cell r="G296">
            <v>5.0609999999999999</v>
          </cell>
          <cell r="H296">
            <v>4.5890000000000004</v>
          </cell>
          <cell r="I296">
            <v>0.86399999999999988</v>
          </cell>
          <cell r="J296">
            <v>3.964896</v>
          </cell>
          <cell r="K296">
            <v>1.8601920000000001</v>
          </cell>
          <cell r="L296">
            <v>1.7072639999999999</v>
          </cell>
          <cell r="M296">
            <v>0.39744000000000002</v>
          </cell>
          <cell r="N296">
            <v>0</v>
          </cell>
          <cell r="O296">
            <v>0</v>
          </cell>
          <cell r="P296">
            <v>0</v>
          </cell>
          <cell r="Q296">
            <v>2.1047039999999999</v>
          </cell>
        </row>
        <row r="297">
          <cell r="C297" t="str">
            <v>00Q04</v>
          </cell>
          <cell r="D297" t="str">
            <v>00 Req't Study - P/T</v>
          </cell>
          <cell r="E297" t="str">
            <v>All Other Powertrain</v>
          </cell>
          <cell r="F297">
            <v>36708</v>
          </cell>
          <cell r="G297">
            <v>7.5449999999999999</v>
          </cell>
          <cell r="H297">
            <v>6.3970000000000002</v>
          </cell>
          <cell r="I297">
            <v>0.85699999999999998</v>
          </cell>
          <cell r="J297">
            <v>5.4822290000000002</v>
          </cell>
          <cell r="K297">
            <v>3.6679599999999999</v>
          </cell>
          <cell r="L297">
            <v>1.4500440000000001</v>
          </cell>
          <cell r="M297">
            <v>1.0284000000000001E-2</v>
          </cell>
          <cell r="N297">
            <v>0</v>
          </cell>
          <cell r="O297">
            <v>0</v>
          </cell>
          <cell r="P297">
            <v>0</v>
          </cell>
          <cell r="Q297">
            <v>1.4603280000000003</v>
          </cell>
        </row>
        <row r="298">
          <cell r="C298" t="str">
            <v>00S30</v>
          </cell>
          <cell r="D298" t="str">
            <v>EU P/T Running Eng'g Chgs</v>
          </cell>
          <cell r="E298" t="str">
            <v>All Other Powertrain</v>
          </cell>
          <cell r="F298">
            <v>36373</v>
          </cell>
          <cell r="G298">
            <v>124.78700000000001</v>
          </cell>
          <cell r="H298">
            <v>66.155000000000001</v>
          </cell>
          <cell r="I298">
            <v>1.0386214193938476E-2</v>
          </cell>
          <cell r="J298">
            <v>0.68709999999999993</v>
          </cell>
          <cell r="K298">
            <v>0.21199999999999999</v>
          </cell>
          <cell r="L298">
            <v>0.21199999999999999</v>
          </cell>
          <cell r="M298">
            <v>0.21199999999999999</v>
          </cell>
          <cell r="N298">
            <v>0</v>
          </cell>
          <cell r="O298">
            <v>0</v>
          </cell>
          <cell r="P298">
            <v>0</v>
          </cell>
          <cell r="Q298">
            <v>0.42399999999999999</v>
          </cell>
        </row>
        <row r="299">
          <cell r="C299" t="str">
            <v>00S51</v>
          </cell>
          <cell r="D299" t="str">
            <v>A4LDE Cap Incr to 3480 upd</v>
          </cell>
          <cell r="E299" t="str">
            <v>All Other Powertrain</v>
          </cell>
          <cell r="F299">
            <v>36557</v>
          </cell>
          <cell r="G299">
            <v>0.62</v>
          </cell>
          <cell r="H299">
            <v>3.6999999999999998E-2</v>
          </cell>
          <cell r="I299">
            <v>1</v>
          </cell>
          <cell r="J299">
            <v>3.6999999999999998E-2</v>
          </cell>
          <cell r="K299">
            <v>1.4E-2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</row>
        <row r="300">
          <cell r="C300" t="str">
            <v>01508</v>
          </cell>
          <cell r="D300" t="str">
            <v>Explorer I4 DDC Diesel</v>
          </cell>
          <cell r="E300" t="str">
            <v>All Other Powertrain</v>
          </cell>
          <cell r="F300">
            <v>37053</v>
          </cell>
          <cell r="G300">
            <v>24.806000000000001</v>
          </cell>
          <cell r="H300">
            <v>12.132</v>
          </cell>
          <cell r="I300">
            <v>1</v>
          </cell>
          <cell r="J300">
            <v>12.132</v>
          </cell>
          <cell r="K300">
            <v>0.47199999999999998</v>
          </cell>
          <cell r="L300">
            <v>8.5679999999999996</v>
          </cell>
          <cell r="N300">
            <v>0</v>
          </cell>
          <cell r="O300">
            <v>0</v>
          </cell>
          <cell r="P300">
            <v>0</v>
          </cell>
          <cell r="Q300">
            <v>11.66</v>
          </cell>
        </row>
        <row r="301">
          <cell r="C301" t="str">
            <v>01P19</v>
          </cell>
          <cell r="D301" t="str">
            <v>I4/Diesel Eng. Protype</v>
          </cell>
          <cell r="E301" t="str">
            <v>All Other Powertrain</v>
          </cell>
          <cell r="F301">
            <v>36739</v>
          </cell>
          <cell r="G301">
            <v>2.7050000000000001</v>
          </cell>
          <cell r="H301">
            <v>2.403</v>
          </cell>
          <cell r="I301">
            <v>8.0000000000000002E-3</v>
          </cell>
          <cell r="J301">
            <v>1.9224000000000002E-2</v>
          </cell>
          <cell r="K301">
            <v>1.2408000000000001E-2</v>
          </cell>
          <cell r="L301">
            <v>3.3360000000000004E-3</v>
          </cell>
          <cell r="M301">
            <v>3.48E-3</v>
          </cell>
          <cell r="N301">
            <v>0</v>
          </cell>
          <cell r="O301">
            <v>0</v>
          </cell>
          <cell r="P301">
            <v>0</v>
          </cell>
          <cell r="Q301">
            <v>6.8160000000000009E-3</v>
          </cell>
        </row>
        <row r="302">
          <cell r="C302" t="str">
            <v>01P33</v>
          </cell>
          <cell r="D302" t="str">
            <v>V6 FFV -- U/P207</v>
          </cell>
          <cell r="E302" t="str">
            <v>4.0L V6</v>
          </cell>
          <cell r="F302">
            <v>37088</v>
          </cell>
          <cell r="G302">
            <v>20.097000000000001</v>
          </cell>
          <cell r="H302">
            <v>8.4109999999999996</v>
          </cell>
          <cell r="I302">
            <v>1</v>
          </cell>
          <cell r="J302">
            <v>8.4109999999999996</v>
          </cell>
          <cell r="K302">
            <v>1.9039999999999999</v>
          </cell>
          <cell r="L302">
            <v>3.702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3.702</v>
          </cell>
        </row>
        <row r="303">
          <cell r="C303" t="str">
            <v>01S58</v>
          </cell>
          <cell r="D303" t="str">
            <v>Transtec Capacity (V6 Heads)</v>
          </cell>
          <cell r="E303" t="str">
            <v>4.0L V6</v>
          </cell>
          <cell r="F303">
            <v>36770</v>
          </cell>
          <cell r="G303">
            <v>24.2</v>
          </cell>
          <cell r="H303">
            <v>22.1</v>
          </cell>
          <cell r="I303">
            <v>0.98</v>
          </cell>
          <cell r="J303">
            <v>21.657999999999998</v>
          </cell>
          <cell r="K303">
            <v>21.657999999999998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</row>
        <row r="304">
          <cell r="C304" t="str">
            <v>01S60</v>
          </cell>
          <cell r="D304" t="str">
            <v>Minor Vendor Tooling Cap-EU</v>
          </cell>
          <cell r="E304" t="str">
            <v>All Other Powertrain</v>
          </cell>
          <cell r="F304">
            <v>36739</v>
          </cell>
          <cell r="G304">
            <v>14.308999999999999</v>
          </cell>
          <cell r="H304">
            <v>14.161</v>
          </cell>
          <cell r="I304">
            <v>1.7175340724525104E-2</v>
          </cell>
          <cell r="J304">
            <v>0.24321999999999999</v>
          </cell>
          <cell r="K304">
            <v>1.17E-2</v>
          </cell>
          <cell r="L304">
            <v>0.12</v>
          </cell>
          <cell r="M304">
            <v>0.08</v>
          </cell>
          <cell r="N304">
            <v>0</v>
          </cell>
          <cell r="O304">
            <v>0</v>
          </cell>
          <cell r="P304">
            <v>0</v>
          </cell>
          <cell r="Q304">
            <v>0.2</v>
          </cell>
        </row>
        <row r="305">
          <cell r="C305" t="str">
            <v>01V25</v>
          </cell>
          <cell r="D305" t="str">
            <v>3.0L Comp Cap for Ranger</v>
          </cell>
          <cell r="E305" t="str">
            <v>All Other Powertrain</v>
          </cell>
          <cell r="F305">
            <v>36861</v>
          </cell>
          <cell r="G305">
            <v>1.841</v>
          </cell>
          <cell r="H305">
            <v>1.841</v>
          </cell>
          <cell r="I305">
            <v>1</v>
          </cell>
          <cell r="J305">
            <v>1.841</v>
          </cell>
          <cell r="K305">
            <v>0</v>
          </cell>
          <cell r="L305">
            <v>1.841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1.841</v>
          </cell>
        </row>
        <row r="306">
          <cell r="C306" t="str">
            <v>02P27</v>
          </cell>
          <cell r="D306" t="str">
            <v>Car/Trk Cap--02MY - KEP, BTP</v>
          </cell>
          <cell r="E306" t="str">
            <v>All Other Powertrain</v>
          </cell>
          <cell r="F306">
            <v>37104</v>
          </cell>
          <cell r="G306">
            <v>78.024000000000001</v>
          </cell>
          <cell r="H306">
            <v>71.203999999999994</v>
          </cell>
          <cell r="I306">
            <v>0.93200000000000005</v>
          </cell>
          <cell r="J306">
            <v>66.362127999999998</v>
          </cell>
          <cell r="K306">
            <v>3.5183</v>
          </cell>
          <cell r="L306">
            <v>44.423780000000001</v>
          </cell>
          <cell r="M306">
            <v>17.019252000000002</v>
          </cell>
          <cell r="N306">
            <v>1.4007960000000002</v>
          </cell>
          <cell r="O306">
            <v>0</v>
          </cell>
          <cell r="P306">
            <v>0</v>
          </cell>
          <cell r="Q306">
            <v>62.843828000000002</v>
          </cell>
        </row>
        <row r="307">
          <cell r="C307" t="str">
            <v>02P32</v>
          </cell>
          <cell r="D307" t="str">
            <v>3.0L V6 Vulcan FE Upgrades</v>
          </cell>
          <cell r="E307" t="str">
            <v>All Other Powertrain</v>
          </cell>
          <cell r="F307">
            <v>37104</v>
          </cell>
          <cell r="G307">
            <v>22.756</v>
          </cell>
          <cell r="H307">
            <v>8.9109999999999996</v>
          </cell>
          <cell r="I307">
            <v>1</v>
          </cell>
          <cell r="J307">
            <v>8.9110000000000014</v>
          </cell>
          <cell r="K307">
            <v>0.76700000000000002</v>
          </cell>
          <cell r="L307">
            <v>6.2080000000000002</v>
          </cell>
          <cell r="M307">
            <v>1.9359999999999999</v>
          </cell>
          <cell r="N307">
            <v>0</v>
          </cell>
          <cell r="O307">
            <v>0</v>
          </cell>
          <cell r="P307">
            <v>0</v>
          </cell>
          <cell r="Q307">
            <v>8.1440000000000001</v>
          </cell>
        </row>
        <row r="308">
          <cell r="C308" t="str">
            <v>03P01</v>
          </cell>
          <cell r="D308" t="str">
            <v>New I4 X-ship X-buy Provision</v>
          </cell>
          <cell r="E308" t="str">
            <v>I4/I5 Engine</v>
          </cell>
          <cell r="F308">
            <v>37408</v>
          </cell>
          <cell r="G308">
            <v>42</v>
          </cell>
          <cell r="H308">
            <v>27.4</v>
          </cell>
          <cell r="I308">
            <v>1</v>
          </cell>
          <cell r="J308">
            <v>27.4</v>
          </cell>
          <cell r="K308">
            <v>0</v>
          </cell>
          <cell r="L308">
            <v>0.04</v>
          </cell>
          <cell r="M308">
            <v>17.611000000000001</v>
          </cell>
          <cell r="N308">
            <v>9.7490000000000006</v>
          </cell>
          <cell r="O308">
            <v>0</v>
          </cell>
          <cell r="P308">
            <v>0</v>
          </cell>
          <cell r="Q308">
            <v>27.4</v>
          </cell>
        </row>
        <row r="309">
          <cell r="C309" t="str">
            <v>03Z20</v>
          </cell>
          <cell r="D309" t="str">
            <v>P131 Allison 1000 Series A/T</v>
          </cell>
          <cell r="E309" t="str">
            <v>All Other Powertrain</v>
          </cell>
          <cell r="F309">
            <v>37469</v>
          </cell>
          <cell r="G309">
            <v>10</v>
          </cell>
          <cell r="H309">
            <v>5</v>
          </cell>
          <cell r="I309">
            <v>1</v>
          </cell>
          <cell r="J309">
            <v>5</v>
          </cell>
          <cell r="K309">
            <v>0</v>
          </cell>
          <cell r="L309">
            <v>0</v>
          </cell>
          <cell r="M309">
            <v>5</v>
          </cell>
          <cell r="N309">
            <v>0</v>
          </cell>
          <cell r="O309">
            <v>0</v>
          </cell>
          <cell r="P309">
            <v>0</v>
          </cell>
          <cell r="Q309">
            <v>5</v>
          </cell>
        </row>
        <row r="310">
          <cell r="C310" t="str">
            <v>04P16</v>
          </cell>
          <cell r="D310" t="str">
            <v>FN Trq Upgrd &amp; Trans for I4</v>
          </cell>
          <cell r="E310" t="str">
            <v>All Other Powertrain</v>
          </cell>
          <cell r="F310">
            <v>37987</v>
          </cell>
          <cell r="G310">
            <v>4.0999999999999996</v>
          </cell>
          <cell r="H310">
            <v>2.2999999999999998</v>
          </cell>
          <cell r="I310">
            <v>1</v>
          </cell>
          <cell r="J310">
            <v>2.2999999999999998</v>
          </cell>
          <cell r="K310">
            <v>0</v>
          </cell>
          <cell r="L310">
            <v>0</v>
          </cell>
          <cell r="M310">
            <v>0.153</v>
          </cell>
          <cell r="N310">
            <v>1.212</v>
          </cell>
          <cell r="O310">
            <v>0.78700000000000003</v>
          </cell>
          <cell r="P310">
            <v>0.14799999999999999</v>
          </cell>
          <cell r="Q310">
            <v>2.2999999999999998</v>
          </cell>
        </row>
        <row r="311">
          <cell r="C311" t="str">
            <v>08P50</v>
          </cell>
          <cell r="D311" t="str">
            <v>DI FE Bundle-MAV</v>
          </cell>
          <cell r="E311" t="str">
            <v>All Other Powertrain</v>
          </cell>
          <cell r="F311">
            <v>39295</v>
          </cell>
          <cell r="G311">
            <v>157</v>
          </cell>
          <cell r="H311">
            <v>88.688000000000002</v>
          </cell>
          <cell r="I311">
            <v>1</v>
          </cell>
          <cell r="J311">
            <v>88.687999999999988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0.106</v>
          </cell>
          <cell r="Q311">
            <v>0.106</v>
          </cell>
        </row>
        <row r="312">
          <cell r="C312" t="str">
            <v>AAO57</v>
          </cell>
          <cell r="D312" t="str">
            <v>Batavia JV Investment Adjt</v>
          </cell>
          <cell r="E312" t="str">
            <v>All Other Powertrain</v>
          </cell>
          <cell r="F312">
            <v>36526</v>
          </cell>
          <cell r="G312">
            <v>0.01</v>
          </cell>
          <cell r="H312">
            <v>0.01</v>
          </cell>
          <cell r="I312">
            <v>0.80599999999999994</v>
          </cell>
          <cell r="J312">
            <v>8.0599999999999995E-3</v>
          </cell>
          <cell r="K312">
            <v>8.0599999999999995E-3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</row>
        <row r="313">
          <cell r="C313" t="str">
            <v>97X08</v>
          </cell>
          <cell r="D313" t="str">
            <v>OTP FLEX PLANT</v>
          </cell>
          <cell r="E313" t="str">
            <v>Assembly &amp; Component Capacity</v>
          </cell>
          <cell r="F313">
            <v>35278</v>
          </cell>
          <cell r="G313">
            <v>319.274</v>
          </cell>
          <cell r="H313">
            <v>307.53800000000001</v>
          </cell>
          <cell r="I313">
            <v>1</v>
          </cell>
          <cell r="J313">
            <v>307.53800000000001</v>
          </cell>
          <cell r="K313">
            <v>8.9999999999999993E-3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</row>
        <row r="314">
          <cell r="C314" t="str">
            <v>98Z13</v>
          </cell>
          <cell r="D314" t="str">
            <v>CUAUTITLAN PHN131/PN96 CAP.</v>
          </cell>
          <cell r="E314" t="str">
            <v>Assembly &amp; Component Capacity</v>
          </cell>
          <cell r="F314">
            <v>35898</v>
          </cell>
          <cell r="G314">
            <v>44.704999999999998</v>
          </cell>
          <cell r="H314">
            <v>27.652000000000001</v>
          </cell>
          <cell r="I314">
            <v>1</v>
          </cell>
          <cell r="J314">
            <v>27.652000000000001</v>
          </cell>
          <cell r="K314">
            <v>6.3E-2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</row>
        <row r="315">
          <cell r="C315" t="str">
            <v>99V10</v>
          </cell>
          <cell r="D315" t="str">
            <v>(G) Ranger 4 dr SC Capacity</v>
          </cell>
          <cell r="E315" t="str">
            <v>Assembly &amp; Component Capacity</v>
          </cell>
          <cell r="F315">
            <v>36251</v>
          </cell>
          <cell r="G315">
            <v>11.244999999999999</v>
          </cell>
          <cell r="H315">
            <v>9.8659999999999997</v>
          </cell>
          <cell r="I315">
            <v>1</v>
          </cell>
          <cell r="J315">
            <v>9.8659999999999997</v>
          </cell>
          <cell r="K315">
            <v>0.622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</row>
        <row r="316">
          <cell r="C316" t="str">
            <v>99X67</v>
          </cell>
          <cell r="D316" t="str">
            <v>PN96/UN93 CAPACITY-PH II</v>
          </cell>
          <cell r="E316" t="str">
            <v>Assembly &amp; Component Capacity</v>
          </cell>
          <cell r="F316">
            <v>36161</v>
          </cell>
          <cell r="G316">
            <v>48.293999999999997</v>
          </cell>
          <cell r="H316">
            <v>47.406999999999996</v>
          </cell>
          <cell r="I316">
            <v>0.94</v>
          </cell>
          <cell r="J316">
            <v>44.562579999999997</v>
          </cell>
          <cell r="K316">
            <v>1.28592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</row>
        <row r="317">
          <cell r="C317" t="str">
            <v>00Q10</v>
          </cell>
          <cell r="D317" t="str">
            <v>98 Cap Study-VO Stamping</v>
          </cell>
          <cell r="E317" t="str">
            <v>Assembly &amp; Component Capacity</v>
          </cell>
          <cell r="F317">
            <v>36861</v>
          </cell>
          <cell r="G317">
            <v>12.646000000000001</v>
          </cell>
          <cell r="H317">
            <v>11.063000000000001</v>
          </cell>
          <cell r="I317">
            <v>0.85699999999999987</v>
          </cell>
          <cell r="J317">
            <v>9.4809909999999995</v>
          </cell>
          <cell r="K317">
            <v>4.4272619999999998</v>
          </cell>
          <cell r="L317">
            <v>1.5468850000000001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1.5468850000000001</v>
          </cell>
        </row>
        <row r="318">
          <cell r="C318" t="str">
            <v>00Q11</v>
          </cell>
          <cell r="D318" t="str">
            <v>P131 Post J1+90 Day Capacit</v>
          </cell>
          <cell r="E318" t="str">
            <v>Assembly &amp; Component Capacity</v>
          </cell>
          <cell r="F318">
            <v>36526</v>
          </cell>
          <cell r="G318">
            <v>7.1479999999999997</v>
          </cell>
          <cell r="H318">
            <v>7.0529999999999999</v>
          </cell>
          <cell r="I318">
            <v>1</v>
          </cell>
          <cell r="J318">
            <v>7.0529999999999999</v>
          </cell>
          <cell r="K318">
            <v>0.41499999999999998</v>
          </cell>
          <cell r="L318">
            <v>1.1619999999999999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7.1619999999999999</v>
          </cell>
        </row>
        <row r="319">
          <cell r="C319" t="str">
            <v>00Z25</v>
          </cell>
          <cell r="D319" t="str">
            <v>(G) U137 Capacity Inc @ KTP</v>
          </cell>
          <cell r="E319" t="str">
            <v>Assembly &amp; Component Capacity</v>
          </cell>
          <cell r="F319">
            <v>36526</v>
          </cell>
          <cell r="G319">
            <v>18.446999999999999</v>
          </cell>
          <cell r="H319">
            <v>17.146000000000001</v>
          </cell>
          <cell r="I319">
            <v>1</v>
          </cell>
          <cell r="J319">
            <v>17.146000000000001</v>
          </cell>
          <cell r="K319">
            <v>8.3190000000000008</v>
          </cell>
          <cell r="L319">
            <v>0.73899999999999999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0.73899999999999999</v>
          </cell>
        </row>
        <row r="320">
          <cell r="C320" t="str">
            <v>00Z27</v>
          </cell>
          <cell r="D320" t="str">
            <v>U137 KTP Cap Vendor Tooling</v>
          </cell>
          <cell r="E320" t="str">
            <v>Assembly &amp; Component Capacity</v>
          </cell>
          <cell r="F320">
            <v>36373</v>
          </cell>
          <cell r="G320">
            <v>9.9290000000000003</v>
          </cell>
          <cell r="H320">
            <v>9.9290000000000003</v>
          </cell>
          <cell r="I320">
            <v>1</v>
          </cell>
          <cell r="J320">
            <v>9.9290000000000003</v>
          </cell>
          <cell r="K320">
            <v>-3.9670000000000001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</row>
        <row r="321">
          <cell r="C321" t="str">
            <v>01520</v>
          </cell>
          <cell r="D321" t="str">
            <v>LAP Cap Incr (77 to 87 JPH)</v>
          </cell>
          <cell r="E321" t="str">
            <v>Assembly &amp; Component Capacity</v>
          </cell>
          <cell r="F321">
            <v>36770</v>
          </cell>
          <cell r="G321">
            <v>27.847999999999999</v>
          </cell>
          <cell r="H321">
            <v>19.448</v>
          </cell>
          <cell r="I321">
            <v>0.93500000000000005</v>
          </cell>
          <cell r="J321">
            <v>18.183880000000002</v>
          </cell>
          <cell r="K321">
            <v>14.039960000000001</v>
          </cell>
          <cell r="L321">
            <v>4.1439200000000005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4.1439200000000005</v>
          </cell>
        </row>
        <row r="322">
          <cell r="C322" t="str">
            <v>01L21</v>
          </cell>
          <cell r="D322" t="str">
            <v>C170(NA) Cap Expansion @ HSAP</v>
          </cell>
          <cell r="E322" t="str">
            <v>Assembly &amp; Component Capacity</v>
          </cell>
          <cell r="F322">
            <v>36892</v>
          </cell>
          <cell r="G322">
            <v>2.9590000000000001</v>
          </cell>
          <cell r="H322">
            <v>1.9990000000000001</v>
          </cell>
          <cell r="I322">
            <v>1</v>
          </cell>
          <cell r="J322">
            <v>1.9990000000000001</v>
          </cell>
          <cell r="K322">
            <v>1.9890000000000001</v>
          </cell>
          <cell r="L322">
            <v>0.01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0.01</v>
          </cell>
        </row>
        <row r="323">
          <cell r="C323" t="str">
            <v>01V10</v>
          </cell>
          <cell r="D323" t="str">
            <v>P207 Cap Incr to 26JPH at LAP</v>
          </cell>
          <cell r="E323" t="str">
            <v>Assembly &amp; Component Capacity</v>
          </cell>
          <cell r="F323">
            <v>36731</v>
          </cell>
          <cell r="G323">
            <v>15.1</v>
          </cell>
          <cell r="H323">
            <v>13.228999999999999</v>
          </cell>
          <cell r="I323">
            <v>1</v>
          </cell>
          <cell r="J323">
            <v>13.229000000000001</v>
          </cell>
          <cell r="K323">
            <v>3.323</v>
          </cell>
          <cell r="L323">
            <v>-9.3999999999999417E-2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9.9060000000000006</v>
          </cell>
        </row>
        <row r="324">
          <cell r="C324" t="str">
            <v>01V11</v>
          </cell>
          <cell r="D324" t="str">
            <v>P207 FFV Capacity Incr</v>
          </cell>
          <cell r="E324" t="str">
            <v>Assembly &amp; Component Capacity</v>
          </cell>
          <cell r="F324">
            <v>36982</v>
          </cell>
          <cell r="G324">
            <v>6</v>
          </cell>
          <cell r="H324">
            <v>3.8</v>
          </cell>
          <cell r="I324">
            <v>1</v>
          </cell>
          <cell r="J324">
            <v>3.8</v>
          </cell>
          <cell r="K324">
            <v>0.2</v>
          </cell>
          <cell r="L324">
            <v>1.6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3.6</v>
          </cell>
        </row>
        <row r="325">
          <cell r="C325" t="str">
            <v>01X06</v>
          </cell>
          <cell r="D325" t="str">
            <v>P225 Cap Incr to 55JPH</v>
          </cell>
          <cell r="E325" t="str">
            <v>Assembly &amp; Component Capacity</v>
          </cell>
          <cell r="F325">
            <v>36739</v>
          </cell>
          <cell r="G325">
            <v>26.992000000000001</v>
          </cell>
          <cell r="H325">
            <v>21.498999999999999</v>
          </cell>
          <cell r="I325">
            <v>1</v>
          </cell>
          <cell r="J325">
            <v>21.499000000000002</v>
          </cell>
          <cell r="K325">
            <v>16.62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4.7880000000000003</v>
          </cell>
        </row>
        <row r="326">
          <cell r="C326" t="str">
            <v>01Z07</v>
          </cell>
          <cell r="D326" t="str">
            <v>(G)P131 Cap--Supplier Comp</v>
          </cell>
          <cell r="E326" t="str">
            <v>Assembly &amp; Component Capacity</v>
          </cell>
          <cell r="F326">
            <v>36521</v>
          </cell>
          <cell r="G326">
            <v>26.5</v>
          </cell>
          <cell r="H326">
            <v>26.5</v>
          </cell>
          <cell r="I326">
            <v>1</v>
          </cell>
          <cell r="J326">
            <v>26.5</v>
          </cell>
          <cell r="K326">
            <v>14.163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8.3859999999999992</v>
          </cell>
        </row>
        <row r="327">
          <cell r="C327" t="str">
            <v>01Z09</v>
          </cell>
          <cell r="D327" t="str">
            <v>P131 Cap Incr to 71jph @ KTP</v>
          </cell>
          <cell r="E327" t="str">
            <v>Assembly &amp; Component Capacity</v>
          </cell>
          <cell r="F327">
            <v>36769</v>
          </cell>
          <cell r="G327">
            <v>25.248000000000001</v>
          </cell>
          <cell r="H327">
            <v>24.2</v>
          </cell>
          <cell r="I327">
            <v>1</v>
          </cell>
          <cell r="J327">
            <v>24.2</v>
          </cell>
          <cell r="K327">
            <v>7.5679999999999996</v>
          </cell>
          <cell r="L327" t="str">
            <v>16.632-6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16.632000000000001</v>
          </cell>
        </row>
        <row r="328">
          <cell r="C328" t="str">
            <v>02505</v>
          </cell>
          <cell r="D328" t="str">
            <v>U152 Capacity (10440)</v>
          </cell>
          <cell r="E328" t="str">
            <v>Assembly &amp; Component Capacity</v>
          </cell>
          <cell r="F328">
            <v>37165</v>
          </cell>
          <cell r="G328">
            <v>20</v>
          </cell>
          <cell r="H328">
            <v>16.844999999999999</v>
          </cell>
          <cell r="I328">
            <v>0.83</v>
          </cell>
          <cell r="J328">
            <v>13.981350000000001</v>
          </cell>
          <cell r="K328">
            <v>0</v>
          </cell>
          <cell r="L328">
            <v>11.61087</v>
          </cell>
          <cell r="M328">
            <v>2.3704800000000001</v>
          </cell>
          <cell r="N328">
            <v>0</v>
          </cell>
          <cell r="O328">
            <v>0</v>
          </cell>
          <cell r="P328">
            <v>0</v>
          </cell>
          <cell r="Q328">
            <v>13.981350000000001</v>
          </cell>
        </row>
        <row r="329">
          <cell r="C329" t="str">
            <v>02Q07</v>
          </cell>
          <cell r="D329" t="str">
            <v>U204 Capacity</v>
          </cell>
          <cell r="E329" t="str">
            <v>Assembly &amp; Component Capacity</v>
          </cell>
          <cell r="F329">
            <v>37104</v>
          </cell>
          <cell r="G329">
            <v>30</v>
          </cell>
          <cell r="H329">
            <v>30</v>
          </cell>
          <cell r="I329">
            <v>1</v>
          </cell>
          <cell r="J329">
            <v>30</v>
          </cell>
          <cell r="K329">
            <v>0</v>
          </cell>
          <cell r="L329">
            <v>27.542999999999999</v>
          </cell>
          <cell r="M329">
            <v>2.4569999999999999</v>
          </cell>
          <cell r="N329">
            <v>0</v>
          </cell>
          <cell r="O329">
            <v>0</v>
          </cell>
          <cell r="P329">
            <v>0</v>
          </cell>
          <cell r="Q329">
            <v>30</v>
          </cell>
        </row>
        <row r="330">
          <cell r="C330" t="str">
            <v>03Q10</v>
          </cell>
          <cell r="D330" t="str">
            <v>Cuatitlan Clrct Capac</v>
          </cell>
          <cell r="E330" t="str">
            <v>Assembly &amp; Component Capacity</v>
          </cell>
          <cell r="F330">
            <v>37773</v>
          </cell>
          <cell r="G330">
            <v>30</v>
          </cell>
          <cell r="H330">
            <v>25.536000000000001</v>
          </cell>
          <cell r="I330">
            <v>1</v>
          </cell>
          <cell r="J330">
            <v>25.535999999999998</v>
          </cell>
          <cell r="K330">
            <v>0</v>
          </cell>
          <cell r="L330">
            <v>0</v>
          </cell>
          <cell r="M330">
            <v>2.234</v>
          </cell>
          <cell r="N330">
            <v>21.547999999999998</v>
          </cell>
          <cell r="O330">
            <v>1.754</v>
          </cell>
          <cell r="P330">
            <v>0</v>
          </cell>
          <cell r="Q330">
            <v>25.535999999999998</v>
          </cell>
        </row>
        <row r="331">
          <cell r="C331" t="str">
            <v>AAQ07</v>
          </cell>
          <cell r="D331" t="str">
            <v>TCAP Capacity for P273</v>
          </cell>
          <cell r="E331" t="str">
            <v>Assembly &amp; Component Capacity</v>
          </cell>
          <cell r="F331">
            <v>37591</v>
          </cell>
          <cell r="G331">
            <v>25</v>
          </cell>
          <cell r="H331">
            <v>25</v>
          </cell>
          <cell r="I331">
            <v>1</v>
          </cell>
          <cell r="J331">
            <v>25</v>
          </cell>
          <cell r="K331">
            <v>0</v>
          </cell>
          <cell r="L331">
            <v>5</v>
          </cell>
          <cell r="M331">
            <v>16</v>
          </cell>
          <cell r="N331">
            <v>4</v>
          </cell>
          <cell r="O331">
            <v>0</v>
          </cell>
          <cell r="P331">
            <v>0</v>
          </cell>
          <cell r="Q331">
            <v>25</v>
          </cell>
        </row>
        <row r="332">
          <cell r="C332" t="str">
            <v>AAO70</v>
          </cell>
          <cell r="D332" t="str">
            <v>Ass'y Plant Refurbishment</v>
          </cell>
          <cell r="E332" t="str">
            <v>Assembly &amp; Component Capacity</v>
          </cell>
          <cell r="F332">
            <v>37226</v>
          </cell>
          <cell r="G332">
            <v>485.18900000000002</v>
          </cell>
          <cell r="H332">
            <v>245.42099999999999</v>
          </cell>
          <cell r="I332">
            <v>0.78920655119162586</v>
          </cell>
          <cell r="J332">
            <v>193.687861</v>
          </cell>
          <cell r="K332">
            <v>10</v>
          </cell>
          <cell r="L332">
            <v>47.4</v>
          </cell>
          <cell r="M332">
            <v>36.299999999999997</v>
          </cell>
          <cell r="N332">
            <v>43.2</v>
          </cell>
          <cell r="O332">
            <v>47.1</v>
          </cell>
          <cell r="P332">
            <v>9.3000000000000007</v>
          </cell>
          <cell r="Q332">
            <v>183.3</v>
          </cell>
        </row>
        <row r="333">
          <cell r="C333" t="str">
            <v>99481</v>
          </cell>
          <cell r="D333" t="str">
            <v>AX4S UPGRADES</v>
          </cell>
          <cell r="E333" t="str">
            <v>AX4N/S Transmission</v>
          </cell>
          <cell r="F333">
            <v>36192</v>
          </cell>
          <cell r="G333">
            <v>6.3460000000000001</v>
          </cell>
          <cell r="H333">
            <v>4.4400000000000004</v>
          </cell>
          <cell r="I333">
            <v>0.96499999999999997</v>
          </cell>
          <cell r="J333">
            <v>4.2846000000000002</v>
          </cell>
          <cell r="K333">
            <v>0.51627500000000004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</row>
        <row r="334">
          <cell r="C334" t="str">
            <v>99P45</v>
          </cell>
          <cell r="D334" t="str">
            <v>AX4S UPGRADE</v>
          </cell>
          <cell r="E334" t="str">
            <v>AX4N/S Transmission</v>
          </cell>
          <cell r="F334">
            <v>36342</v>
          </cell>
          <cell r="G334">
            <v>25.516999999999999</v>
          </cell>
          <cell r="H334">
            <v>18.858000000000001</v>
          </cell>
          <cell r="I334">
            <v>0.96499999999999997</v>
          </cell>
          <cell r="J334">
            <v>18.197970000000002</v>
          </cell>
          <cell r="K334">
            <v>0.96596500000000007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</row>
        <row r="335">
          <cell r="C335" t="str">
            <v>00P62</v>
          </cell>
          <cell r="D335" t="str">
            <v>QUALITY IMP. Actions- AX4S</v>
          </cell>
          <cell r="E335" t="str">
            <v>AX4N/S Transmission</v>
          </cell>
          <cell r="F335">
            <v>36373</v>
          </cell>
          <cell r="G335">
            <v>40.78</v>
          </cell>
          <cell r="H335">
            <v>34.709000000000003</v>
          </cell>
          <cell r="I335">
            <v>0.96499999999999997</v>
          </cell>
          <cell r="J335">
            <v>33.494185000000002</v>
          </cell>
          <cell r="K335">
            <v>10.170135</v>
          </cell>
          <cell r="L335">
            <v>9.074860000000001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9.074860000000001</v>
          </cell>
        </row>
        <row r="336">
          <cell r="C336" t="str">
            <v>01P18</v>
          </cell>
          <cell r="D336" t="str">
            <v>AX4N/S High Mileage Upgrade</v>
          </cell>
          <cell r="E336" t="str">
            <v>AX4N/S Transmission</v>
          </cell>
          <cell r="F336">
            <v>37104</v>
          </cell>
          <cell r="G336">
            <v>95.742999999999995</v>
          </cell>
          <cell r="H336">
            <v>54.856000000000002</v>
          </cell>
          <cell r="I336">
            <v>0.873</v>
          </cell>
          <cell r="J336">
            <v>47.889288000000001</v>
          </cell>
          <cell r="K336">
            <v>9.7706160000000004</v>
          </cell>
          <cell r="L336">
            <v>24.993116999999998</v>
          </cell>
          <cell r="M336">
            <v>13.101111</v>
          </cell>
          <cell r="N336">
            <v>0</v>
          </cell>
          <cell r="O336">
            <v>0</v>
          </cell>
          <cell r="P336">
            <v>0</v>
          </cell>
          <cell r="Q336">
            <v>38.094228000000001</v>
          </cell>
        </row>
        <row r="337">
          <cell r="C337" t="str">
            <v>02P63</v>
          </cell>
          <cell r="D337" t="str">
            <v>AX4N Cap Incr (AX4S Short Cyc)</v>
          </cell>
          <cell r="E337" t="str">
            <v>AX4N/S Transmission</v>
          </cell>
          <cell r="F337">
            <v>37438</v>
          </cell>
          <cell r="G337">
            <v>104.01900000000001</v>
          </cell>
          <cell r="H337">
            <v>77.019000000000005</v>
          </cell>
          <cell r="I337">
            <v>0.8839999999999999</v>
          </cell>
          <cell r="J337">
            <v>68.084795999999997</v>
          </cell>
          <cell r="K337">
            <v>0</v>
          </cell>
          <cell r="L337">
            <v>15.98714</v>
          </cell>
          <cell r="M337">
            <v>39.148824000000005</v>
          </cell>
          <cell r="N337">
            <v>12.948831999999999</v>
          </cell>
          <cell r="O337">
            <v>0</v>
          </cell>
          <cell r="P337">
            <v>0</v>
          </cell>
          <cell r="Q337">
            <v>68.084795999999997</v>
          </cell>
        </row>
        <row r="338">
          <cell r="C338" t="str">
            <v>03O97</v>
          </cell>
          <cell r="D338" t="str">
            <v>Brand Strategy Provision</v>
          </cell>
          <cell r="E338" t="str">
            <v>Brand Strategy Provision</v>
          </cell>
          <cell r="F338">
            <v>37469</v>
          </cell>
          <cell r="G338">
            <v>7</v>
          </cell>
          <cell r="H338">
            <v>7</v>
          </cell>
          <cell r="I338">
            <v>0.877</v>
          </cell>
          <cell r="J338">
            <v>6.1390000000000002</v>
          </cell>
          <cell r="K338">
            <v>0</v>
          </cell>
          <cell r="L338">
            <v>0</v>
          </cell>
          <cell r="M338">
            <v>6.1390000000000002</v>
          </cell>
          <cell r="N338">
            <v>0</v>
          </cell>
          <cell r="O338">
            <v>0</v>
          </cell>
          <cell r="P338">
            <v>0</v>
          </cell>
          <cell r="Q338">
            <v>6.1390000000000002</v>
          </cell>
        </row>
        <row r="339">
          <cell r="C339" t="str">
            <v>04O96</v>
          </cell>
          <cell r="D339" t="str">
            <v>Brand Strategy-Key FOBs</v>
          </cell>
          <cell r="E339" t="str">
            <v>Brand Strategy Provision</v>
          </cell>
          <cell r="F339">
            <v>37834</v>
          </cell>
          <cell r="G339">
            <v>3.1</v>
          </cell>
          <cell r="H339">
            <v>3.1</v>
          </cell>
          <cell r="I339">
            <v>0.87699999999999989</v>
          </cell>
          <cell r="J339">
            <v>2.7186999999999997</v>
          </cell>
          <cell r="K339">
            <v>0</v>
          </cell>
          <cell r="L339">
            <v>0</v>
          </cell>
          <cell r="M339">
            <v>0</v>
          </cell>
          <cell r="N339">
            <v>2.7186999999999997</v>
          </cell>
          <cell r="O339">
            <v>0</v>
          </cell>
          <cell r="P339">
            <v>0</v>
          </cell>
          <cell r="Q339">
            <v>2.7186999999999997</v>
          </cell>
        </row>
        <row r="340">
          <cell r="C340" t="str">
            <v>04O97</v>
          </cell>
          <cell r="D340" t="str">
            <v>Brand Strategy Provision</v>
          </cell>
          <cell r="E340" t="str">
            <v>Brand Strategy Provision</v>
          </cell>
          <cell r="F340">
            <v>37834</v>
          </cell>
          <cell r="G340">
            <v>9</v>
          </cell>
          <cell r="H340">
            <v>9</v>
          </cell>
          <cell r="I340">
            <v>0.87700000000000011</v>
          </cell>
          <cell r="J340">
            <v>7.8930000000000007</v>
          </cell>
          <cell r="K340">
            <v>0</v>
          </cell>
          <cell r="L340">
            <v>0</v>
          </cell>
          <cell r="M340">
            <v>0</v>
          </cell>
          <cell r="N340">
            <v>7.8930000000000007</v>
          </cell>
          <cell r="O340">
            <v>0</v>
          </cell>
          <cell r="P340">
            <v>0</v>
          </cell>
          <cell r="Q340">
            <v>7.8930000000000007</v>
          </cell>
        </row>
        <row r="341">
          <cell r="C341" t="str">
            <v>00P14</v>
          </cell>
          <cell r="D341" t="str">
            <v>CD4E TORQ UPGRADE</v>
          </cell>
          <cell r="E341" t="str">
            <v>CD4E Transmission</v>
          </cell>
          <cell r="F341">
            <v>36586</v>
          </cell>
          <cell r="G341">
            <v>28.655999999999999</v>
          </cell>
          <cell r="H341">
            <v>17.414000000000001</v>
          </cell>
          <cell r="I341">
            <v>0.41827495118869867</v>
          </cell>
          <cell r="J341">
            <v>7.2838399999999996</v>
          </cell>
          <cell r="K341">
            <v>1.04535</v>
          </cell>
          <cell r="L341">
            <v>1.8326000000000002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1.8326000000000002</v>
          </cell>
        </row>
        <row r="342">
          <cell r="C342" t="str">
            <v>01P13</v>
          </cell>
          <cell r="D342" t="str">
            <v>CD4E Engagement Improvement</v>
          </cell>
          <cell r="E342" t="str">
            <v>CD4E Transmission</v>
          </cell>
          <cell r="F342">
            <v>36951</v>
          </cell>
          <cell r="G342">
            <v>8.8800000000000008</v>
          </cell>
          <cell r="H342">
            <v>5.8710000000000004</v>
          </cell>
          <cell r="I342">
            <v>0.4</v>
          </cell>
          <cell r="J342">
            <v>2.3483999999999998</v>
          </cell>
          <cell r="K342">
            <v>0</v>
          </cell>
          <cell r="L342">
            <v>2.0484</v>
          </cell>
          <cell r="M342">
            <v>0.3</v>
          </cell>
          <cell r="N342">
            <v>0</v>
          </cell>
          <cell r="O342">
            <v>0</v>
          </cell>
          <cell r="P342">
            <v>0</v>
          </cell>
          <cell r="Q342">
            <v>2.3483999999999998</v>
          </cell>
        </row>
        <row r="343">
          <cell r="C343" t="str">
            <v>01P17</v>
          </cell>
          <cell r="D343" t="str">
            <v>CD4E Trans for I4/I5</v>
          </cell>
          <cell r="E343" t="str">
            <v>CD4E Transmission</v>
          </cell>
          <cell r="F343">
            <v>36739</v>
          </cell>
          <cell r="G343">
            <v>10.106999999999999</v>
          </cell>
          <cell r="H343">
            <v>4.7249999999999996</v>
          </cell>
          <cell r="I343">
            <v>0.56999999999999995</v>
          </cell>
          <cell r="J343">
            <v>2.6932499999999999</v>
          </cell>
          <cell r="K343">
            <v>0.43890000000000001</v>
          </cell>
          <cell r="L343">
            <v>2.1625799999999997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2.1625799999999997</v>
          </cell>
        </row>
        <row r="344">
          <cell r="C344" t="str">
            <v>01S85</v>
          </cell>
          <cell r="D344" t="str">
            <v>CD4E for Mondeo(N/A)</v>
          </cell>
          <cell r="E344" t="str">
            <v>CD4E Transmission</v>
          </cell>
          <cell r="F344">
            <v>36831</v>
          </cell>
          <cell r="G344">
            <v>1.375</v>
          </cell>
          <cell r="H344">
            <v>7.4999999999999997E-2</v>
          </cell>
          <cell r="I344">
            <v>1</v>
          </cell>
          <cell r="J344">
            <v>7.4999999999999997E-2</v>
          </cell>
          <cell r="K344">
            <v>2.4E-2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</row>
        <row r="345">
          <cell r="C345" t="str">
            <v>02S40</v>
          </cell>
          <cell r="D345" t="str">
            <v>CD132 V6 CD4E for Mexico</v>
          </cell>
          <cell r="E345" t="str">
            <v>CD4E Transmission</v>
          </cell>
          <cell r="F345">
            <v>37469</v>
          </cell>
          <cell r="G345">
            <v>15.72</v>
          </cell>
          <cell r="H345">
            <v>6.6</v>
          </cell>
          <cell r="I345">
            <v>1</v>
          </cell>
          <cell r="J345">
            <v>6.6</v>
          </cell>
          <cell r="K345">
            <v>2E-3</v>
          </cell>
          <cell r="L345">
            <v>0.69</v>
          </cell>
          <cell r="M345">
            <v>4.9779999999999998</v>
          </cell>
          <cell r="N345">
            <v>0.93</v>
          </cell>
          <cell r="O345">
            <v>0</v>
          </cell>
          <cell r="P345">
            <v>0</v>
          </cell>
          <cell r="Q345">
            <v>6.597999999999999</v>
          </cell>
        </row>
        <row r="346">
          <cell r="C346" t="str">
            <v>02Q04</v>
          </cell>
          <cell r="D346" t="str">
            <v>COMPONENTS</v>
          </cell>
          <cell r="E346" t="str">
            <v>Components Provision</v>
          </cell>
          <cell r="F346">
            <v>37104</v>
          </cell>
          <cell r="G346">
            <v>23.832999999999998</v>
          </cell>
          <cell r="H346">
            <v>23.832999999999998</v>
          </cell>
          <cell r="I346">
            <v>0.85799999999999998</v>
          </cell>
          <cell r="J346">
            <v>20.448713999999999</v>
          </cell>
          <cell r="K346">
            <v>0</v>
          </cell>
          <cell r="L346">
            <v>20.448713999999999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20.448713999999999</v>
          </cell>
        </row>
        <row r="347">
          <cell r="C347" t="str">
            <v>03Q04</v>
          </cell>
          <cell r="D347" t="str">
            <v>COMPONENTS</v>
          </cell>
          <cell r="E347" t="str">
            <v>Components Provision</v>
          </cell>
          <cell r="F347">
            <v>37469</v>
          </cell>
          <cell r="G347">
            <v>76</v>
          </cell>
          <cell r="H347">
            <v>70</v>
          </cell>
          <cell r="I347">
            <v>0.85799999999999998</v>
          </cell>
          <cell r="J347">
            <v>60.06</v>
          </cell>
          <cell r="K347">
            <v>0</v>
          </cell>
          <cell r="L347">
            <v>0</v>
          </cell>
          <cell r="M347">
            <v>60.06</v>
          </cell>
          <cell r="N347">
            <v>0</v>
          </cell>
          <cell r="O347">
            <v>0</v>
          </cell>
          <cell r="P347">
            <v>0</v>
          </cell>
          <cell r="Q347">
            <v>60.06</v>
          </cell>
        </row>
        <row r="348">
          <cell r="C348" t="str">
            <v>04Q04</v>
          </cell>
          <cell r="D348" t="str">
            <v>COMPONENTS</v>
          </cell>
          <cell r="E348" t="str">
            <v>Components Provision</v>
          </cell>
          <cell r="F348">
            <v>37834</v>
          </cell>
          <cell r="G348">
            <v>77</v>
          </cell>
          <cell r="H348">
            <v>71</v>
          </cell>
          <cell r="I348">
            <v>0.876</v>
          </cell>
          <cell r="J348">
            <v>62.195999999999998</v>
          </cell>
          <cell r="K348">
            <v>0</v>
          </cell>
          <cell r="L348">
            <v>0</v>
          </cell>
          <cell r="M348">
            <v>0</v>
          </cell>
          <cell r="N348">
            <v>62.195999999999998</v>
          </cell>
          <cell r="O348">
            <v>0</v>
          </cell>
          <cell r="P348">
            <v>0</v>
          </cell>
          <cell r="Q348">
            <v>62.195999999999998</v>
          </cell>
        </row>
        <row r="349">
          <cell r="C349" t="str">
            <v>05Q04</v>
          </cell>
          <cell r="D349" t="str">
            <v>COMPONENTS</v>
          </cell>
          <cell r="E349" t="str">
            <v>Components Provision</v>
          </cell>
          <cell r="F349">
            <v>38200</v>
          </cell>
          <cell r="G349">
            <v>91</v>
          </cell>
          <cell r="H349">
            <v>75</v>
          </cell>
          <cell r="I349">
            <v>0.89</v>
          </cell>
          <cell r="J349">
            <v>66.75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66.75</v>
          </cell>
          <cell r="P349">
            <v>0</v>
          </cell>
          <cell r="Q349">
            <v>66.75</v>
          </cell>
        </row>
        <row r="350">
          <cell r="C350" t="str">
            <v>06Q04</v>
          </cell>
          <cell r="D350" t="str">
            <v>COMPONENTS</v>
          </cell>
          <cell r="E350" t="str">
            <v>Components Provision</v>
          </cell>
          <cell r="F350">
            <v>38565</v>
          </cell>
          <cell r="G350">
            <v>91</v>
          </cell>
          <cell r="H350">
            <v>75</v>
          </cell>
          <cell r="I350">
            <v>0.89</v>
          </cell>
          <cell r="J350">
            <v>66.75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66.75</v>
          </cell>
          <cell r="Q350">
            <v>66.75</v>
          </cell>
        </row>
        <row r="351">
          <cell r="C351" t="str">
            <v>07Q04</v>
          </cell>
          <cell r="D351" t="str">
            <v>COMPONENTS</v>
          </cell>
          <cell r="E351" t="str">
            <v>Components Provision</v>
          </cell>
          <cell r="F351">
            <v>38930</v>
          </cell>
          <cell r="G351">
            <v>112</v>
          </cell>
          <cell r="H351">
            <v>97.6</v>
          </cell>
          <cell r="I351">
            <v>0.89</v>
          </cell>
          <cell r="J351">
            <v>86.86399999999999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</row>
        <row r="352">
          <cell r="C352" t="str">
            <v>96L35</v>
          </cell>
          <cell r="D352" t="str">
            <v>MINOR PRODUCT IMP--SML/MDM VC</v>
          </cell>
          <cell r="E352" t="str">
            <v>Cost Reduction/PVT Programs</v>
          </cell>
          <cell r="F352">
            <v>34912</v>
          </cell>
          <cell r="G352">
            <v>287.20999999999998</v>
          </cell>
          <cell r="H352">
            <v>263.61700000000002</v>
          </cell>
          <cell r="I352">
            <v>0.84246819059468847</v>
          </cell>
          <cell r="J352">
            <v>222.08893700000002</v>
          </cell>
          <cell r="K352">
            <v>2.5770000000000003E-3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</row>
        <row r="353">
          <cell r="C353" t="str">
            <v>97H35</v>
          </cell>
          <cell r="D353" t="str">
            <v>MINOR PRODUCT IMP -- LFWD</v>
          </cell>
          <cell r="E353" t="str">
            <v>Cost Reduction/PVT Programs</v>
          </cell>
          <cell r="F353">
            <v>35278</v>
          </cell>
          <cell r="G353">
            <v>3.9550000000000001</v>
          </cell>
          <cell r="H353">
            <v>2.6859999999999999</v>
          </cell>
          <cell r="I353">
            <v>0.40299999999999997</v>
          </cell>
          <cell r="J353">
            <v>1.0824579999999999</v>
          </cell>
          <cell r="K353">
            <v>1.209E-3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</row>
        <row r="354">
          <cell r="C354" t="str">
            <v>97L15</v>
          </cell>
          <cell r="D354" t="str">
            <v>1997 VC1 Cost Reductions</v>
          </cell>
          <cell r="E354" t="str">
            <v>Cost Reduction/PVT Programs</v>
          </cell>
          <cell r="F354">
            <v>35282</v>
          </cell>
          <cell r="G354">
            <v>25.484999999999999</v>
          </cell>
          <cell r="H354">
            <v>14.885999999999999</v>
          </cell>
          <cell r="I354">
            <v>0.93521019750100765</v>
          </cell>
          <cell r="J354">
            <v>13.921538999999999</v>
          </cell>
          <cell r="K354">
            <v>0.27413400000000004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</row>
        <row r="355">
          <cell r="C355" t="str">
            <v>98H15</v>
          </cell>
          <cell r="D355" t="str">
            <v>LFWD Cost Reductions</v>
          </cell>
          <cell r="E355" t="str">
            <v>Cost Reduction/PVT Programs</v>
          </cell>
          <cell r="F355">
            <v>35674</v>
          </cell>
          <cell r="G355">
            <v>45.804000000000002</v>
          </cell>
          <cell r="H355">
            <v>30.635999999999999</v>
          </cell>
          <cell r="I355">
            <v>0.40300000000000002</v>
          </cell>
          <cell r="J355">
            <v>12.346308000000001</v>
          </cell>
          <cell r="K355">
            <v>0.13742300000000002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</row>
        <row r="356">
          <cell r="C356" t="str">
            <v>98L15</v>
          </cell>
          <cell r="D356" t="str">
            <v>SMALL/MED CAR COST REDUCTION</v>
          </cell>
          <cell r="E356" t="str">
            <v>Cost Reduction/PVT Programs</v>
          </cell>
          <cell r="F356">
            <v>35643</v>
          </cell>
          <cell r="G356">
            <v>119.92100000000001</v>
          </cell>
          <cell r="H356">
            <v>31.474</v>
          </cell>
          <cell r="I356">
            <v>0.11094910084514205</v>
          </cell>
          <cell r="J356">
            <v>3.4920120000000008</v>
          </cell>
          <cell r="K356">
            <v>9.1700000000000011E-3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</row>
        <row r="357">
          <cell r="C357" t="str">
            <v>98L35</v>
          </cell>
          <cell r="D357" t="str">
            <v>SMALL/MED CAR MPIF</v>
          </cell>
          <cell r="E357" t="str">
            <v>Cost Reduction/PVT Programs</v>
          </cell>
          <cell r="F357">
            <v>35643</v>
          </cell>
          <cell r="G357">
            <v>2.774</v>
          </cell>
          <cell r="H357">
            <v>2.1219999999999999</v>
          </cell>
          <cell r="I357">
            <v>0.12607728557964185</v>
          </cell>
          <cell r="J357">
            <v>0.267536</v>
          </cell>
          <cell r="K357">
            <v>1.0000000000000001E-5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</row>
        <row r="358">
          <cell r="C358" t="str">
            <v>98P35</v>
          </cell>
          <cell r="D358" t="str">
            <v>MPIF--POWERTRAIN</v>
          </cell>
          <cell r="E358" t="str">
            <v>Cost Reduction/PVT Programs</v>
          </cell>
          <cell r="F358">
            <v>35643</v>
          </cell>
          <cell r="G358">
            <v>0.79200000000000004</v>
          </cell>
          <cell r="H358">
            <v>0.56799999999999995</v>
          </cell>
          <cell r="I358">
            <v>0.78900000000000003</v>
          </cell>
          <cell r="J358">
            <v>0.44815199999999999</v>
          </cell>
          <cell r="K358">
            <v>5.5230000000000001E-3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</row>
        <row r="359">
          <cell r="C359" t="str">
            <v>98X15</v>
          </cell>
          <cell r="D359" t="str">
            <v>Light Truck Cost Reduction</v>
          </cell>
          <cell r="E359" t="str">
            <v>Cost Reduction/PVT Programs</v>
          </cell>
          <cell r="F359">
            <v>35643</v>
          </cell>
          <cell r="G359">
            <v>27.35</v>
          </cell>
          <cell r="H359">
            <v>11.471</v>
          </cell>
          <cell r="I359">
            <v>0.81146804986487675</v>
          </cell>
          <cell r="J359">
            <v>9.3083500000000008</v>
          </cell>
          <cell r="K359">
            <v>8.2449999999999996E-2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</row>
        <row r="360">
          <cell r="C360" t="str">
            <v>98X35</v>
          </cell>
          <cell r="D360" t="str">
            <v>LIGHT TRUCK - MPIF</v>
          </cell>
          <cell r="E360" t="str">
            <v>Cost Reduction/PVT Programs</v>
          </cell>
          <cell r="F360">
            <v>35643</v>
          </cell>
          <cell r="G360">
            <v>2.4510000000000001</v>
          </cell>
          <cell r="H360">
            <v>2.0009999999999999</v>
          </cell>
          <cell r="I360">
            <v>0.67031484257871066</v>
          </cell>
          <cell r="J360">
            <v>1.3412999999999999</v>
          </cell>
          <cell r="K360">
            <v>8.4999999999999995E-4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</row>
        <row r="361">
          <cell r="C361" t="str">
            <v>98Z15</v>
          </cell>
          <cell r="D361" t="str">
            <v>COMM TRUCK - COST REDUCTION</v>
          </cell>
          <cell r="E361" t="str">
            <v>Cost Reduction/PVT Programs</v>
          </cell>
          <cell r="F361">
            <v>35643</v>
          </cell>
          <cell r="G361">
            <v>10.584</v>
          </cell>
          <cell r="H361">
            <v>8.5709999999999997</v>
          </cell>
          <cell r="I361">
            <v>1</v>
          </cell>
          <cell r="J361">
            <v>8.5709999999999997</v>
          </cell>
          <cell r="K361">
            <v>9.1999999999999998E-2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</row>
        <row r="362">
          <cell r="C362" t="str">
            <v>99A15</v>
          </cell>
          <cell r="D362" t="str">
            <v>LARGE &amp; LUX COST REDUCTION</v>
          </cell>
          <cell r="E362" t="str">
            <v>Cost Reduction/PVT Programs</v>
          </cell>
          <cell r="F362">
            <v>36342</v>
          </cell>
          <cell r="G362">
            <v>35.914000000000001</v>
          </cell>
          <cell r="H362">
            <v>20.76</v>
          </cell>
          <cell r="I362">
            <v>0.40299999999999997</v>
          </cell>
          <cell r="J362">
            <v>8.3662799999999997</v>
          </cell>
          <cell r="K362">
            <v>0.41428399999999999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</row>
        <row r="363">
          <cell r="C363" t="str">
            <v>99H15</v>
          </cell>
          <cell r="D363" t="str">
            <v>INTERNAL COOLER BYPASS</v>
          </cell>
          <cell r="E363" t="str">
            <v>Cost Reduction/PVT Programs</v>
          </cell>
          <cell r="F363">
            <v>36008</v>
          </cell>
          <cell r="G363">
            <v>1.7070000000000001</v>
          </cell>
          <cell r="H363">
            <v>1.2090000000000001</v>
          </cell>
          <cell r="I363">
            <v>0.96499999999999997</v>
          </cell>
          <cell r="J363">
            <v>1.1666850000000002</v>
          </cell>
          <cell r="K363">
            <v>8.685E-3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</row>
        <row r="364">
          <cell r="C364" t="str">
            <v>99L15</v>
          </cell>
          <cell r="D364" t="str">
            <v>SM/MED COST RED.</v>
          </cell>
          <cell r="E364" t="str">
            <v>Cost Reduction/PVT Programs</v>
          </cell>
          <cell r="F364">
            <v>36342</v>
          </cell>
          <cell r="G364">
            <v>7.149</v>
          </cell>
          <cell r="H364">
            <v>3.1520000000000001</v>
          </cell>
          <cell r="I364">
            <v>0.17321827411167512</v>
          </cell>
          <cell r="J364">
            <v>0.54598400000000002</v>
          </cell>
          <cell r="K364">
            <v>0.25241600000000003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</row>
        <row r="365">
          <cell r="C365" t="str">
            <v>99L35</v>
          </cell>
          <cell r="D365" t="str">
            <v>SMALL/MED CAR MPIF</v>
          </cell>
          <cell r="E365" t="str">
            <v>Cost Reduction/PVT Programs</v>
          </cell>
          <cell r="F365">
            <v>35984</v>
          </cell>
          <cell r="G365">
            <v>3.173</v>
          </cell>
          <cell r="H365">
            <v>2.593</v>
          </cell>
          <cell r="I365">
            <v>1.5013883532587737E-2</v>
          </cell>
          <cell r="J365">
            <v>3.8931E-2</v>
          </cell>
          <cell r="K365">
            <v>0</v>
          </cell>
          <cell r="L365">
            <v>4.84E-4</v>
          </cell>
          <cell r="M365">
            <v>1.9700000000000002E-4</v>
          </cell>
          <cell r="N365">
            <v>0</v>
          </cell>
          <cell r="O365">
            <v>0</v>
          </cell>
          <cell r="P365">
            <v>0</v>
          </cell>
          <cell r="Q365">
            <v>6.8099999999999996E-4</v>
          </cell>
        </row>
        <row r="366">
          <cell r="C366" t="str">
            <v>99W05</v>
          </cell>
          <cell r="D366" t="str">
            <v>E-Series Cost Reductions</v>
          </cell>
          <cell r="E366" t="str">
            <v>Cost Reduction/PVT Programs</v>
          </cell>
          <cell r="F366">
            <v>36300</v>
          </cell>
          <cell r="G366">
            <v>5.5449999999999999</v>
          </cell>
          <cell r="H366">
            <v>5.3259999999999996</v>
          </cell>
          <cell r="I366">
            <v>1</v>
          </cell>
          <cell r="J366">
            <v>5.3260000000000005</v>
          </cell>
          <cell r="K366">
            <v>4.2999999999999997E-2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</row>
        <row r="367">
          <cell r="C367" t="str">
            <v>99W15</v>
          </cell>
          <cell r="D367" t="str">
            <v>TVC PVT - E-Series</v>
          </cell>
          <cell r="E367" t="str">
            <v>Cost Reduction/PVT Programs</v>
          </cell>
          <cell r="F367">
            <v>36342</v>
          </cell>
          <cell r="G367">
            <v>0.49</v>
          </cell>
          <cell r="H367">
            <v>0.46899999999999997</v>
          </cell>
          <cell r="I367">
            <v>1</v>
          </cell>
          <cell r="J367">
            <v>0.46900000000000003</v>
          </cell>
          <cell r="K367">
            <v>3.0000000000000001E-3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</row>
        <row r="368">
          <cell r="C368" t="str">
            <v>99X15</v>
          </cell>
          <cell r="D368" t="str">
            <v>TVC - COST REDUCTIONS</v>
          </cell>
          <cell r="E368" t="str">
            <v>Cost Reduction/PVT Programs</v>
          </cell>
          <cell r="F368">
            <v>36342</v>
          </cell>
          <cell r="G368">
            <v>32.517000000000003</v>
          </cell>
          <cell r="H368">
            <v>15.874000000000001</v>
          </cell>
          <cell r="I368">
            <v>0.85360715635630602</v>
          </cell>
          <cell r="J368">
            <v>13.550160000000002</v>
          </cell>
          <cell r="K368">
            <v>0.76970000000000005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</row>
        <row r="369">
          <cell r="C369" t="str">
            <v>99Z11</v>
          </cell>
          <cell r="D369" t="str">
            <v>P131 Gas Tank Cost Red.</v>
          </cell>
          <cell r="E369" t="str">
            <v>Cost Reduction/PVT Programs</v>
          </cell>
          <cell r="F369">
            <v>36367</v>
          </cell>
          <cell r="G369">
            <v>9.8569999999999993</v>
          </cell>
          <cell r="H369">
            <v>8.3710000000000004</v>
          </cell>
          <cell r="I369">
            <v>1</v>
          </cell>
          <cell r="J369">
            <v>8.3709999999999987</v>
          </cell>
          <cell r="K369">
            <v>0.70199999999999996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</row>
        <row r="370">
          <cell r="C370" t="str">
            <v>00515</v>
          </cell>
          <cell r="D370" t="str">
            <v>TVC PVT - Explorer</v>
          </cell>
          <cell r="E370" t="str">
            <v>Cost Reduction/PVT Programs</v>
          </cell>
          <cell r="F370">
            <v>36708</v>
          </cell>
          <cell r="G370">
            <v>6.048</v>
          </cell>
          <cell r="H370">
            <v>4.2469999999999999</v>
          </cell>
          <cell r="I370">
            <v>0.85</v>
          </cell>
          <cell r="J370">
            <v>3.6099499999999995</v>
          </cell>
          <cell r="K370">
            <v>0.93840000000000001</v>
          </cell>
          <cell r="L370">
            <v>1.2392999999999998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1.2392999999999998</v>
          </cell>
        </row>
        <row r="371">
          <cell r="C371" t="str">
            <v>00A15</v>
          </cell>
          <cell r="D371" t="str">
            <v>LVC Cost Reductions</v>
          </cell>
          <cell r="E371" t="str">
            <v>Cost Reduction/PVT Programs</v>
          </cell>
          <cell r="F371">
            <v>36708</v>
          </cell>
          <cell r="G371">
            <v>22.02</v>
          </cell>
          <cell r="H371">
            <v>17.004999999999999</v>
          </cell>
          <cell r="I371">
            <v>0.40300000000000002</v>
          </cell>
          <cell r="J371">
            <v>6.8530150000000001</v>
          </cell>
          <cell r="K371">
            <v>5.4630679999999998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</row>
        <row r="372">
          <cell r="C372" t="str">
            <v>00L15</v>
          </cell>
          <cell r="D372" t="str">
            <v>SVC Cost Reductions (NA)</v>
          </cell>
          <cell r="E372" t="str">
            <v>Cost Reduction/PVT Programs</v>
          </cell>
          <cell r="F372">
            <v>36708</v>
          </cell>
          <cell r="G372">
            <v>1.4970000000000001</v>
          </cell>
          <cell r="H372">
            <v>0.67</v>
          </cell>
          <cell r="I372">
            <v>0.85399999999999987</v>
          </cell>
          <cell r="J372">
            <v>0.57217999999999991</v>
          </cell>
          <cell r="K372">
            <v>0.39027799999999996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</row>
        <row r="373">
          <cell r="C373" t="str">
            <v>00L35</v>
          </cell>
          <cell r="D373" t="str">
            <v>SVC MPIF (NA)</v>
          </cell>
          <cell r="E373" t="str">
            <v>Cost Reduction/PVT Programs</v>
          </cell>
          <cell r="F373">
            <v>36708</v>
          </cell>
          <cell r="G373">
            <v>3.4020000000000001</v>
          </cell>
          <cell r="H373">
            <v>3.0179999999999998</v>
          </cell>
          <cell r="I373">
            <v>0.8540000000000002</v>
          </cell>
          <cell r="J373">
            <v>2.5773720000000004</v>
          </cell>
          <cell r="K373">
            <v>2.5756640000000002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</row>
        <row r="374">
          <cell r="C374" t="str">
            <v>00U15</v>
          </cell>
          <cell r="D374" t="str">
            <v>TVC PVT - Expedition/Nav</v>
          </cell>
          <cell r="E374" t="str">
            <v>Cost Reduction/PVT Programs</v>
          </cell>
          <cell r="F374">
            <v>36708</v>
          </cell>
          <cell r="G374">
            <v>3.7869999999999999</v>
          </cell>
          <cell r="H374">
            <v>1.383</v>
          </cell>
          <cell r="I374">
            <v>0.84</v>
          </cell>
          <cell r="J374">
            <v>1.1617200000000001</v>
          </cell>
          <cell r="K374">
            <v>0.95928000000000002</v>
          </cell>
          <cell r="L374">
            <v>0.18312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0.18312</v>
          </cell>
        </row>
        <row r="375">
          <cell r="C375" t="str">
            <v>00V15</v>
          </cell>
          <cell r="D375" t="str">
            <v>TVC PVT - Ranger</v>
          </cell>
          <cell r="E375" t="str">
            <v>Cost Reduction/PVT Programs</v>
          </cell>
          <cell r="F375">
            <v>36708</v>
          </cell>
          <cell r="G375">
            <v>15.311</v>
          </cell>
          <cell r="H375">
            <v>13.964</v>
          </cell>
          <cell r="I375">
            <v>1</v>
          </cell>
          <cell r="J375">
            <v>13.963999999999999</v>
          </cell>
          <cell r="K375">
            <v>8.9619999999999997</v>
          </cell>
          <cell r="L375">
            <v>1.2410000000000001</v>
          </cell>
          <cell r="M375">
            <v>6.0999999999999999E-2</v>
          </cell>
          <cell r="N375">
            <v>0</v>
          </cell>
          <cell r="O375">
            <v>0</v>
          </cell>
          <cell r="P375">
            <v>0</v>
          </cell>
          <cell r="Q375">
            <v>1.302</v>
          </cell>
        </row>
        <row r="376">
          <cell r="C376" t="str">
            <v>00W15</v>
          </cell>
          <cell r="D376" t="str">
            <v>TVC PVT - E-Series</v>
          </cell>
          <cell r="E376" t="str">
            <v>Cost Reduction/PVT Programs</v>
          </cell>
          <cell r="F376">
            <v>36708</v>
          </cell>
          <cell r="G376">
            <v>11.882999999999999</v>
          </cell>
          <cell r="H376">
            <v>10.744999999999999</v>
          </cell>
          <cell r="I376">
            <v>1</v>
          </cell>
          <cell r="J376">
            <v>10.744999999999999</v>
          </cell>
          <cell r="K376">
            <v>9.0220000000000002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</row>
        <row r="377">
          <cell r="C377" t="str">
            <v>00X15</v>
          </cell>
          <cell r="D377" t="str">
            <v>TVC PVT - F-Series U/8500</v>
          </cell>
          <cell r="E377" t="str">
            <v>Cost Reduction/PVT Programs</v>
          </cell>
          <cell r="F377">
            <v>36708</v>
          </cell>
          <cell r="G377">
            <v>24.081</v>
          </cell>
          <cell r="H377">
            <v>16.713000000000001</v>
          </cell>
          <cell r="I377">
            <v>0.99976066535032604</v>
          </cell>
          <cell r="J377">
            <v>16.709</v>
          </cell>
          <cell r="K377">
            <v>7.2880000000000003</v>
          </cell>
          <cell r="L377">
            <v>1.08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1.08</v>
          </cell>
        </row>
        <row r="378">
          <cell r="C378" t="str">
            <v>00X16</v>
          </cell>
          <cell r="D378" t="str">
            <v>TVC DSO Provision</v>
          </cell>
          <cell r="E378" t="str">
            <v>Cost Reduction/PVT Programs</v>
          </cell>
          <cell r="F378">
            <v>36708</v>
          </cell>
          <cell r="G378">
            <v>0.13800000000000001</v>
          </cell>
          <cell r="H378">
            <v>8.5999999999999993E-2</v>
          </cell>
          <cell r="I378">
            <v>1</v>
          </cell>
          <cell r="J378">
            <v>8.5999999999999993E-2</v>
          </cell>
          <cell r="K378">
            <v>6.6000000000000003E-2</v>
          </cell>
          <cell r="L378">
            <v>0.02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0.02</v>
          </cell>
        </row>
        <row r="379">
          <cell r="C379" t="str">
            <v>00X37</v>
          </cell>
          <cell r="D379" t="str">
            <v>TVC Stamping Actions</v>
          </cell>
          <cell r="E379" t="str">
            <v>Cost Reduction/PVT Programs</v>
          </cell>
          <cell r="F379">
            <v>36586</v>
          </cell>
          <cell r="G379">
            <v>3.4359999999999999</v>
          </cell>
          <cell r="H379">
            <v>3.25</v>
          </cell>
          <cell r="I379">
            <v>1</v>
          </cell>
          <cell r="J379">
            <v>3.25</v>
          </cell>
          <cell r="K379">
            <v>2.5409999999999999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</row>
        <row r="380">
          <cell r="C380" t="str">
            <v>00Y15</v>
          </cell>
          <cell r="D380" t="str">
            <v>TVC PVT - Med/Com Trucks</v>
          </cell>
          <cell r="E380" t="str">
            <v>Cost Reduction/PVT Programs</v>
          </cell>
          <cell r="F380">
            <v>36708</v>
          </cell>
          <cell r="G380">
            <v>0.85199999999999998</v>
          </cell>
          <cell r="H380">
            <v>0.56399999999999995</v>
          </cell>
          <cell r="I380">
            <v>1</v>
          </cell>
          <cell r="J380">
            <v>0.56399999999999995</v>
          </cell>
          <cell r="K380">
            <v>0.55200000000000005</v>
          </cell>
          <cell r="L380">
            <v>1.2E-2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1.2E-2</v>
          </cell>
        </row>
        <row r="381">
          <cell r="C381" t="str">
            <v>00Z15</v>
          </cell>
          <cell r="D381" t="str">
            <v>TVC PVT - F-Series O/8500</v>
          </cell>
          <cell r="E381" t="str">
            <v>Cost Reduction/PVT Programs</v>
          </cell>
          <cell r="F381">
            <v>36708</v>
          </cell>
          <cell r="G381">
            <v>23.045999999999999</v>
          </cell>
          <cell r="H381">
            <v>12.58</v>
          </cell>
          <cell r="I381">
            <v>1</v>
          </cell>
          <cell r="J381">
            <v>12.58</v>
          </cell>
          <cell r="K381">
            <v>5.45</v>
          </cell>
          <cell r="L381">
            <v>4.3940000000000001</v>
          </cell>
          <cell r="M381">
            <v>5.3000000000000005E-2</v>
          </cell>
          <cell r="N381">
            <v>5.3000000000000005E-2</v>
          </cell>
          <cell r="O381">
            <v>2.5000000000000001E-2</v>
          </cell>
          <cell r="P381">
            <v>0</v>
          </cell>
          <cell r="Q381">
            <v>4.5250000000000004</v>
          </cell>
        </row>
        <row r="382">
          <cell r="C382" t="str">
            <v>00Z16</v>
          </cell>
          <cell r="D382" t="str">
            <v>Mexico Minor Truck Programs</v>
          </cell>
          <cell r="E382" t="str">
            <v>Cost Reduction/PVT Programs</v>
          </cell>
          <cell r="F382">
            <v>36738</v>
          </cell>
          <cell r="G382">
            <v>2.0030000000000001</v>
          </cell>
          <cell r="H382">
            <v>2.0030000000000001</v>
          </cell>
          <cell r="I382">
            <v>1</v>
          </cell>
          <cell r="J382">
            <v>2.0030000000000001</v>
          </cell>
          <cell r="K382">
            <v>1.3679999999999999</v>
          </cell>
          <cell r="L382">
            <v>0.63500000000000001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0.63500000000000001</v>
          </cell>
        </row>
        <row r="383">
          <cell r="C383" t="str">
            <v>01504</v>
          </cell>
          <cell r="D383" t="str">
            <v>U152 PVT</v>
          </cell>
          <cell r="E383" t="str">
            <v>Cost Reduction/PVT Programs</v>
          </cell>
          <cell r="F383">
            <v>37073</v>
          </cell>
          <cell r="G383">
            <v>11</v>
          </cell>
          <cell r="H383">
            <v>10</v>
          </cell>
          <cell r="I383">
            <v>1</v>
          </cell>
          <cell r="J383">
            <v>10</v>
          </cell>
          <cell r="K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10</v>
          </cell>
        </row>
        <row r="384">
          <cell r="C384" t="str">
            <v>01515</v>
          </cell>
          <cell r="D384" t="str">
            <v>TVC PVT - Explorer</v>
          </cell>
          <cell r="E384" t="str">
            <v>Cost Reduction/PVT Programs</v>
          </cell>
          <cell r="F384">
            <v>37073</v>
          </cell>
          <cell r="G384">
            <v>0.443</v>
          </cell>
          <cell r="H384">
            <v>4.8000000000000001E-2</v>
          </cell>
          <cell r="I384">
            <v>0.85</v>
          </cell>
          <cell r="J384">
            <v>4.0799999999999989E-2</v>
          </cell>
          <cell r="K384">
            <v>3.2299999999999995E-2</v>
          </cell>
          <cell r="L384">
            <v>5.9500000000000004E-3</v>
          </cell>
          <cell r="M384">
            <v>2.5500000000000002E-3</v>
          </cell>
          <cell r="N384">
            <v>0</v>
          </cell>
          <cell r="O384">
            <v>0</v>
          </cell>
          <cell r="P384">
            <v>0</v>
          </cell>
          <cell r="Q384">
            <v>8.5000000000000006E-3</v>
          </cell>
        </row>
        <row r="385">
          <cell r="C385" t="str">
            <v>01550</v>
          </cell>
          <cell r="D385" t="str">
            <v>Truck In-Cycle Actions</v>
          </cell>
          <cell r="E385" t="str">
            <v>Cost Reduction/PVT Programs</v>
          </cell>
          <cell r="F385">
            <v>37073</v>
          </cell>
          <cell r="G385">
            <v>15.5</v>
          </cell>
          <cell r="H385">
            <v>11.8</v>
          </cell>
          <cell r="I385">
            <v>1</v>
          </cell>
          <cell r="J385">
            <v>11.8</v>
          </cell>
          <cell r="K385">
            <v>0</v>
          </cell>
          <cell r="L385">
            <v>11.8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11.8</v>
          </cell>
        </row>
        <row r="386">
          <cell r="C386" t="str">
            <v>01615</v>
          </cell>
          <cell r="D386" t="str">
            <v>U204 Escape OPD/PVT</v>
          </cell>
          <cell r="E386" t="str">
            <v>Cost Reduction/PVT Programs</v>
          </cell>
          <cell r="F386">
            <v>37073</v>
          </cell>
          <cell r="G386">
            <v>7.0000000000000001E-3</v>
          </cell>
          <cell r="H386">
            <v>7.0000000000000001E-3</v>
          </cell>
          <cell r="I386">
            <v>1</v>
          </cell>
          <cell r="J386">
            <v>7.0000000000000001E-3</v>
          </cell>
          <cell r="K386">
            <v>7.0000000000000001E-3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</row>
        <row r="387">
          <cell r="C387" t="str">
            <v>01E15</v>
          </cell>
          <cell r="D387" t="str">
            <v>NA CBG PVT - Crown Vic/Grd Mar</v>
          </cell>
          <cell r="E387" t="str">
            <v>Cost Reduction/PVT Programs</v>
          </cell>
          <cell r="F387">
            <v>37073</v>
          </cell>
          <cell r="G387">
            <v>0.69499999999999995</v>
          </cell>
          <cell r="H387">
            <v>0.60299999999999998</v>
          </cell>
          <cell r="I387">
            <v>0.5</v>
          </cell>
          <cell r="J387">
            <v>0.30149999999999999</v>
          </cell>
          <cell r="K387">
            <v>0.28249999999999997</v>
          </cell>
          <cell r="L387">
            <v>1.9E-2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1.9E-2</v>
          </cell>
        </row>
        <row r="388">
          <cell r="C388" t="str">
            <v>01G35</v>
          </cell>
          <cell r="D388" t="str">
            <v>NA CBG OPD - Performance</v>
          </cell>
          <cell r="E388" t="str">
            <v>Cost Reduction/PVT Programs</v>
          </cell>
          <cell r="F388">
            <v>37073</v>
          </cell>
          <cell r="G388">
            <v>0.56999999999999995</v>
          </cell>
          <cell r="H388">
            <v>0.56200000000000006</v>
          </cell>
          <cell r="I388">
            <v>1</v>
          </cell>
          <cell r="J388">
            <v>0.56200000000000006</v>
          </cell>
          <cell r="K388">
            <v>0.56200000000000006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</row>
        <row r="389">
          <cell r="C389" t="str">
            <v>01H15</v>
          </cell>
          <cell r="D389" t="str">
            <v>NA CBG PVT - Taurus/Sable</v>
          </cell>
          <cell r="E389" t="str">
            <v>Cost Reduction/PVT Programs</v>
          </cell>
          <cell r="F389">
            <v>37073</v>
          </cell>
          <cell r="G389">
            <v>4.8650000000000002</v>
          </cell>
          <cell r="H389">
            <v>4.633</v>
          </cell>
          <cell r="I389">
            <v>0.5</v>
          </cell>
          <cell r="J389">
            <v>2.3165000000000004</v>
          </cell>
          <cell r="K389">
            <v>2.2040000000000002</v>
          </cell>
          <cell r="L389">
            <v>0.107</v>
          </cell>
          <cell r="M389">
            <v>5.4999999999999997E-3</v>
          </cell>
          <cell r="N389">
            <v>0</v>
          </cell>
          <cell r="O389">
            <v>0</v>
          </cell>
          <cell r="P389">
            <v>0</v>
          </cell>
          <cell r="Q389">
            <v>0.1125</v>
          </cell>
        </row>
        <row r="390">
          <cell r="C390" t="str">
            <v>01H35</v>
          </cell>
          <cell r="D390" t="str">
            <v>NA CBG OPD - Taurus/Sable</v>
          </cell>
          <cell r="E390" t="str">
            <v>Cost Reduction/PVT Programs</v>
          </cell>
          <cell r="F390">
            <v>37073</v>
          </cell>
          <cell r="G390">
            <v>1.6990000000000001</v>
          </cell>
          <cell r="H390">
            <v>1.679</v>
          </cell>
          <cell r="I390">
            <v>0.5</v>
          </cell>
          <cell r="J390">
            <v>0.83950000000000002</v>
          </cell>
          <cell r="K390">
            <v>0.83950000000000002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</row>
        <row r="391">
          <cell r="C391" t="str">
            <v>01I15</v>
          </cell>
          <cell r="D391" t="str">
            <v>NA CBG PVT - Mustang</v>
          </cell>
          <cell r="E391" t="str">
            <v>Cost Reduction/PVT Programs</v>
          </cell>
          <cell r="F391">
            <v>37073</v>
          </cell>
          <cell r="G391">
            <v>2.706</v>
          </cell>
          <cell r="H391">
            <v>2.4780000000000002</v>
          </cell>
          <cell r="I391">
            <v>1</v>
          </cell>
          <cell r="J391">
            <v>2.4780000000000002</v>
          </cell>
          <cell r="K391">
            <v>1.8939999999999999</v>
          </cell>
          <cell r="L391">
            <v>0.35899999999999999</v>
          </cell>
          <cell r="M391">
            <v>7.9000000000000001E-2</v>
          </cell>
          <cell r="N391">
            <v>0.06</v>
          </cell>
          <cell r="O391">
            <v>0.06</v>
          </cell>
          <cell r="P391">
            <v>2.5999999999999999E-2</v>
          </cell>
          <cell r="Q391">
            <v>0.58400000000000007</v>
          </cell>
        </row>
        <row r="392">
          <cell r="C392" t="str">
            <v>01J15</v>
          </cell>
          <cell r="D392" t="str">
            <v>NA CBG PVT - Contour/Mystique</v>
          </cell>
          <cell r="E392" t="str">
            <v>Cost Reduction/PVT Programs</v>
          </cell>
          <cell r="F392">
            <v>37073</v>
          </cell>
          <cell r="G392">
            <v>0.104</v>
          </cell>
          <cell r="H392">
            <v>9.9000000000000005E-2</v>
          </cell>
          <cell r="I392">
            <v>0.75</v>
          </cell>
          <cell r="J392">
            <v>7.425000000000001E-2</v>
          </cell>
          <cell r="K392">
            <v>6.9000000000000006E-2</v>
          </cell>
          <cell r="L392">
            <v>5.2500000000000003E-3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5.2500000000000003E-3</v>
          </cell>
        </row>
        <row r="393">
          <cell r="C393" t="str">
            <v>01L10</v>
          </cell>
          <cell r="D393" t="str">
            <v>C170 In-Cycle Actions</v>
          </cell>
          <cell r="E393" t="str">
            <v>Cost Reduction/PVT Programs</v>
          </cell>
          <cell r="F393">
            <v>36766</v>
          </cell>
          <cell r="G393">
            <v>2.6320000000000001</v>
          </cell>
          <cell r="H393">
            <v>2.5510000000000002</v>
          </cell>
          <cell r="I393">
            <v>1</v>
          </cell>
          <cell r="J393">
            <v>2.5510000000000002</v>
          </cell>
          <cell r="K393">
            <v>1.673</v>
          </cell>
          <cell r="L393">
            <v>0.878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0.878</v>
          </cell>
        </row>
        <row r="394">
          <cell r="C394" t="str">
            <v>01L15</v>
          </cell>
          <cell r="D394" t="str">
            <v>NA CBG PVT - Focus</v>
          </cell>
          <cell r="E394" t="str">
            <v>Cost Reduction/PVT Programs</v>
          </cell>
          <cell r="F394">
            <v>37073</v>
          </cell>
          <cell r="G394">
            <v>1.883</v>
          </cell>
          <cell r="H394">
            <v>1.4279999999999999</v>
          </cell>
          <cell r="I394">
            <v>1</v>
          </cell>
          <cell r="J394">
            <v>1.4279999999999997</v>
          </cell>
          <cell r="K394">
            <v>0.98099999999999998</v>
          </cell>
          <cell r="L394">
            <v>0.32500000000000001</v>
          </cell>
          <cell r="M394">
            <v>6.0999999999999999E-2</v>
          </cell>
          <cell r="N394">
            <v>2.5000000000000001E-2</v>
          </cell>
          <cell r="O394">
            <v>2.5000000000000001E-2</v>
          </cell>
          <cell r="P394">
            <v>1.0999999999999999E-2</v>
          </cell>
          <cell r="Q394">
            <v>0.44700000000000006</v>
          </cell>
        </row>
        <row r="395">
          <cell r="C395" t="str">
            <v>01L35</v>
          </cell>
          <cell r="D395" t="str">
            <v>NA CBG OPD - C-Car</v>
          </cell>
          <cell r="E395" t="str">
            <v>Cost Reduction/PVT Programs</v>
          </cell>
          <cell r="F395">
            <v>37073</v>
          </cell>
          <cell r="G395">
            <v>3.9710000000000001</v>
          </cell>
          <cell r="H395">
            <v>3.7730000000000001</v>
          </cell>
          <cell r="I395">
            <v>1</v>
          </cell>
          <cell r="J395">
            <v>3.7730000000000001</v>
          </cell>
          <cell r="K395">
            <v>3.64</v>
          </cell>
          <cell r="L395">
            <v>0.11700000000000001</v>
          </cell>
          <cell r="M395">
            <v>1.6E-2</v>
          </cell>
          <cell r="N395">
            <v>0</v>
          </cell>
          <cell r="O395">
            <v>0</v>
          </cell>
          <cell r="P395">
            <v>0</v>
          </cell>
          <cell r="Q395">
            <v>0.13300000000000001</v>
          </cell>
        </row>
        <row r="396">
          <cell r="C396" t="str">
            <v>01O41</v>
          </cell>
          <cell r="D396" t="str">
            <v>Cross CBG Cost Reductions</v>
          </cell>
          <cell r="E396" t="str">
            <v>Cost Reduction/PVT Programs</v>
          </cell>
          <cell r="F396">
            <v>37073</v>
          </cell>
          <cell r="G396">
            <v>8.48</v>
          </cell>
          <cell r="H396">
            <v>7.77</v>
          </cell>
          <cell r="I396">
            <v>0.86099999999999999</v>
          </cell>
          <cell r="J396">
            <v>6.6899699999999998</v>
          </cell>
          <cell r="K396">
            <v>0.13948199999999999</v>
          </cell>
          <cell r="L396">
            <v>4.1173020000000005</v>
          </cell>
          <cell r="M396">
            <v>2.4331860000000001</v>
          </cell>
          <cell r="N396">
            <v>0</v>
          </cell>
          <cell r="O396">
            <v>0</v>
          </cell>
          <cell r="P396">
            <v>0</v>
          </cell>
          <cell r="Q396">
            <v>6.5504879999999996</v>
          </cell>
        </row>
        <row r="397">
          <cell r="C397" t="str">
            <v>01T15</v>
          </cell>
          <cell r="D397" t="str">
            <v>NA CBG PVT - Windstar</v>
          </cell>
          <cell r="E397" t="str">
            <v>Cost Reduction/PVT Programs</v>
          </cell>
          <cell r="F397">
            <v>37073</v>
          </cell>
          <cell r="G397">
            <v>1.9690000000000001</v>
          </cell>
          <cell r="H397">
            <v>1.7949999999999999</v>
          </cell>
          <cell r="I397">
            <v>1</v>
          </cell>
          <cell r="J397">
            <v>1.7949999999999999</v>
          </cell>
          <cell r="K397">
            <v>0.996</v>
          </cell>
          <cell r="L397">
            <v>0.67300000000000004</v>
          </cell>
          <cell r="M397">
            <v>0.126</v>
          </cell>
          <cell r="N397">
            <v>0</v>
          </cell>
          <cell r="O397">
            <v>0</v>
          </cell>
          <cell r="P397">
            <v>0</v>
          </cell>
          <cell r="Q397">
            <v>0.79900000000000004</v>
          </cell>
        </row>
        <row r="398">
          <cell r="C398" t="str">
            <v>01T35</v>
          </cell>
          <cell r="D398" t="str">
            <v>NA CBG OPD - MPV</v>
          </cell>
          <cell r="E398" t="str">
            <v>Cost Reduction/PVT Programs</v>
          </cell>
          <cell r="F398">
            <v>37073</v>
          </cell>
          <cell r="G398">
            <v>2.52</v>
          </cell>
          <cell r="H398">
            <v>2.3940000000000001</v>
          </cell>
          <cell r="I398">
            <v>1</v>
          </cell>
          <cell r="J398">
            <v>2.3940000000000001</v>
          </cell>
          <cell r="K398">
            <v>2.3940000000000001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</row>
        <row r="399">
          <cell r="C399" t="str">
            <v>01U15</v>
          </cell>
          <cell r="D399" t="str">
            <v>TVC PVT - Expedition/Nav</v>
          </cell>
          <cell r="E399" t="str">
            <v>Cost Reduction/PVT Programs</v>
          </cell>
          <cell r="F399">
            <v>37073</v>
          </cell>
          <cell r="G399">
            <v>0.28699999999999998</v>
          </cell>
          <cell r="H399">
            <v>2.3E-2</v>
          </cell>
          <cell r="I399">
            <v>0.86</v>
          </cell>
          <cell r="J399">
            <v>1.9780000000000002E-2</v>
          </cell>
          <cell r="K399">
            <v>1.9780000000000002E-2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</row>
        <row r="400">
          <cell r="C400" t="str">
            <v>01V15</v>
          </cell>
          <cell r="D400" t="str">
            <v>TVC PVT - Ranger</v>
          </cell>
          <cell r="E400" t="str">
            <v>Cost Reduction/PVT Programs</v>
          </cell>
          <cell r="F400">
            <v>37073</v>
          </cell>
          <cell r="G400">
            <v>5.069</v>
          </cell>
          <cell r="H400">
            <v>3.7040000000000002</v>
          </cell>
          <cell r="I400">
            <v>1</v>
          </cell>
          <cell r="J400">
            <v>3.7040000000000002</v>
          </cell>
          <cell r="K400">
            <v>1.369</v>
          </cell>
          <cell r="L400">
            <v>2.1539999999999999</v>
          </cell>
          <cell r="M400">
            <v>0.18099999999999999</v>
          </cell>
          <cell r="N400">
            <v>0</v>
          </cell>
          <cell r="O400">
            <v>0</v>
          </cell>
          <cell r="P400">
            <v>0</v>
          </cell>
          <cell r="Q400">
            <v>2.335</v>
          </cell>
        </row>
        <row r="401">
          <cell r="C401" t="str">
            <v>01W15</v>
          </cell>
          <cell r="D401" t="str">
            <v>TVC PVT - E-Series</v>
          </cell>
          <cell r="E401" t="str">
            <v>Cost Reduction/PVT Programs</v>
          </cell>
          <cell r="F401">
            <v>37073</v>
          </cell>
          <cell r="G401">
            <v>2.544</v>
          </cell>
          <cell r="H401">
            <v>1.7529999999999999</v>
          </cell>
          <cell r="I401">
            <v>1</v>
          </cell>
          <cell r="J401">
            <v>1.7530000000000001</v>
          </cell>
          <cell r="K401">
            <v>0.755</v>
          </cell>
          <cell r="L401">
            <v>0.90800000000000003</v>
          </cell>
          <cell r="M401">
            <v>0.09</v>
          </cell>
          <cell r="N401">
            <v>0</v>
          </cell>
          <cell r="O401">
            <v>0</v>
          </cell>
          <cell r="P401">
            <v>0</v>
          </cell>
          <cell r="Q401">
            <v>0.998</v>
          </cell>
        </row>
        <row r="402">
          <cell r="C402" t="str">
            <v>01X15</v>
          </cell>
          <cell r="D402" t="str">
            <v>TVC PVT - F-Series U/8500</v>
          </cell>
          <cell r="E402" t="str">
            <v>Cost Reduction/PVT Programs</v>
          </cell>
          <cell r="F402">
            <v>37073</v>
          </cell>
          <cell r="G402">
            <v>1.3220000000000001</v>
          </cell>
          <cell r="H402">
            <v>1.0349999999999999</v>
          </cell>
          <cell r="I402">
            <v>1</v>
          </cell>
          <cell r="J402">
            <v>1.0349999999999999</v>
          </cell>
          <cell r="K402">
            <v>0.7360000000000001</v>
          </cell>
          <cell r="L402">
            <v>9.7000000000000003E-2</v>
          </cell>
          <cell r="M402">
            <v>5.7000000000000002E-2</v>
          </cell>
          <cell r="N402">
            <v>6.1000000000000006E-2</v>
          </cell>
          <cell r="O402">
            <v>6.1000000000000006E-2</v>
          </cell>
          <cell r="P402">
            <v>2.3000000000000003E-2</v>
          </cell>
          <cell r="Q402">
            <v>0.29900000000000004</v>
          </cell>
        </row>
        <row r="403">
          <cell r="C403" t="str">
            <v>01X16</v>
          </cell>
          <cell r="D403" t="str">
            <v>TVC DSO Provision</v>
          </cell>
          <cell r="E403" t="str">
            <v>Cost Reduction/PVT Programs</v>
          </cell>
          <cell r="F403">
            <v>37073</v>
          </cell>
          <cell r="G403">
            <v>4.7640000000000002</v>
          </cell>
          <cell r="H403">
            <v>4.4640000000000004</v>
          </cell>
          <cell r="I403">
            <v>1</v>
          </cell>
          <cell r="J403">
            <v>4.4639999999999995</v>
          </cell>
          <cell r="K403">
            <v>0.66400000000000003</v>
          </cell>
          <cell r="L403">
            <v>2.8540000000000001</v>
          </cell>
          <cell r="M403">
            <v>0.94599999999999995</v>
          </cell>
          <cell r="N403">
            <v>0</v>
          </cell>
          <cell r="O403">
            <v>0</v>
          </cell>
          <cell r="P403">
            <v>0</v>
          </cell>
          <cell r="Q403">
            <v>3.8</v>
          </cell>
        </row>
        <row r="404">
          <cell r="C404" t="str">
            <v>01Y15</v>
          </cell>
          <cell r="D404" t="str">
            <v>TVC PVT - Med/Com Trucks</v>
          </cell>
          <cell r="E404" t="str">
            <v>Cost Reduction/PVT Programs</v>
          </cell>
          <cell r="F404">
            <v>37073</v>
          </cell>
          <cell r="G404">
            <v>0.106</v>
          </cell>
          <cell r="H404">
            <v>8.5000000000000006E-2</v>
          </cell>
          <cell r="I404">
            <v>1</v>
          </cell>
          <cell r="J404">
            <v>8.5000000000000006E-2</v>
          </cell>
          <cell r="K404">
            <v>8.5000000000000006E-2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</row>
        <row r="405">
          <cell r="C405" t="str">
            <v>01Z15</v>
          </cell>
          <cell r="D405" t="str">
            <v>TVC PVT - F-Series O/8500</v>
          </cell>
          <cell r="E405" t="str">
            <v>Cost Reduction/PVT Programs</v>
          </cell>
          <cell r="F405">
            <v>37073</v>
          </cell>
          <cell r="G405">
            <v>14.724</v>
          </cell>
          <cell r="H405">
            <v>12.459</v>
          </cell>
          <cell r="I405">
            <v>1</v>
          </cell>
          <cell r="J405">
            <v>12.459</v>
          </cell>
          <cell r="K405">
            <v>8.7430000000000003</v>
          </cell>
          <cell r="L405">
            <v>3.5820000000000003</v>
          </cell>
          <cell r="M405">
            <v>0.13400000000000001</v>
          </cell>
          <cell r="N405">
            <v>0</v>
          </cell>
          <cell r="O405">
            <v>0</v>
          </cell>
          <cell r="P405">
            <v>0</v>
          </cell>
          <cell r="Q405">
            <v>3.7160000000000002</v>
          </cell>
        </row>
        <row r="406">
          <cell r="C406" t="str">
            <v>01Z16</v>
          </cell>
          <cell r="D406" t="str">
            <v>Mexico Minor Truck Programs</v>
          </cell>
          <cell r="E406" t="str">
            <v>Cost Reduction/PVT Programs</v>
          </cell>
          <cell r="F406">
            <v>37103</v>
          </cell>
          <cell r="G406">
            <v>2</v>
          </cell>
          <cell r="H406">
            <v>2</v>
          </cell>
          <cell r="I406">
            <v>1</v>
          </cell>
          <cell r="J406">
            <v>2</v>
          </cell>
          <cell r="K406">
            <v>0</v>
          </cell>
          <cell r="L406">
            <v>2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2</v>
          </cell>
        </row>
        <row r="407">
          <cell r="C407" t="str">
            <v>01Z35</v>
          </cell>
          <cell r="D407" t="str">
            <v>O/8500 OPD</v>
          </cell>
          <cell r="E407" t="str">
            <v>Cost Reduction/PVT Programs</v>
          </cell>
          <cell r="F407">
            <v>37073</v>
          </cell>
          <cell r="G407">
            <v>4.8</v>
          </cell>
          <cell r="H407">
            <v>4.5999999999999996</v>
          </cell>
          <cell r="I407">
            <v>1</v>
          </cell>
          <cell r="J407">
            <v>4.5999999999999996</v>
          </cell>
          <cell r="K407">
            <v>0.06</v>
          </cell>
          <cell r="L407">
            <v>4.54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4.54</v>
          </cell>
        </row>
        <row r="408">
          <cell r="C408" t="str">
            <v>02E15</v>
          </cell>
          <cell r="D408" t="str">
            <v>NAC CBG PVT - Crown Vic/Grd Ma</v>
          </cell>
          <cell r="E408" t="str">
            <v>Cost Reduction/PVT Programs</v>
          </cell>
          <cell r="F408">
            <v>37438</v>
          </cell>
          <cell r="G408">
            <v>1.9319999999999999</v>
          </cell>
          <cell r="H408">
            <v>1.4</v>
          </cell>
          <cell r="I408">
            <v>0.5</v>
          </cell>
          <cell r="J408">
            <v>0.7</v>
          </cell>
          <cell r="K408">
            <v>0</v>
          </cell>
          <cell r="L408">
            <v>0.7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0.7</v>
          </cell>
        </row>
        <row r="409">
          <cell r="C409" t="str">
            <v>02G15</v>
          </cell>
          <cell r="D409" t="str">
            <v>NAC CBG PVT - Thunderbird</v>
          </cell>
          <cell r="E409" t="str">
            <v>Cost Reduction/PVT Programs</v>
          </cell>
          <cell r="F409">
            <v>37438</v>
          </cell>
          <cell r="G409">
            <v>0.27400000000000002</v>
          </cell>
          <cell r="H409">
            <v>0.2</v>
          </cell>
          <cell r="I409">
            <v>1</v>
          </cell>
          <cell r="J409">
            <v>0.2</v>
          </cell>
          <cell r="K409">
            <v>0</v>
          </cell>
          <cell r="L409">
            <v>0.2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0.2</v>
          </cell>
        </row>
        <row r="410">
          <cell r="C410" t="str">
            <v>02G35</v>
          </cell>
          <cell r="D410" t="str">
            <v>NAC CBG OPD - Performance</v>
          </cell>
          <cell r="E410" t="str">
            <v>Cost Reduction/PVT Programs</v>
          </cell>
          <cell r="F410">
            <v>37438</v>
          </cell>
          <cell r="G410">
            <v>1.38</v>
          </cell>
          <cell r="H410">
            <v>1</v>
          </cell>
          <cell r="I410">
            <v>1</v>
          </cell>
          <cell r="J410">
            <v>1</v>
          </cell>
          <cell r="K410">
            <v>0</v>
          </cell>
          <cell r="L410">
            <v>1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1</v>
          </cell>
        </row>
        <row r="411">
          <cell r="C411" t="str">
            <v>02H15</v>
          </cell>
          <cell r="D411" t="str">
            <v>NAC CBG PVT - Taurus/Sable</v>
          </cell>
          <cell r="E411" t="str">
            <v>Cost Reduction/PVT Programs</v>
          </cell>
          <cell r="F411">
            <v>37438</v>
          </cell>
          <cell r="G411">
            <v>4.0019999999999998</v>
          </cell>
          <cell r="H411">
            <v>2.9</v>
          </cell>
          <cell r="I411">
            <v>0.5</v>
          </cell>
          <cell r="J411">
            <v>1.45</v>
          </cell>
          <cell r="K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1.45</v>
          </cell>
        </row>
        <row r="412">
          <cell r="C412" t="str">
            <v>02H35</v>
          </cell>
          <cell r="D412" t="str">
            <v>NAC CBG PVT - Taurus/Sable</v>
          </cell>
          <cell r="E412" t="str">
            <v>Cost Reduction/PVT Programs</v>
          </cell>
          <cell r="F412">
            <v>37438</v>
          </cell>
          <cell r="G412">
            <v>7.7279999999999998</v>
          </cell>
          <cell r="H412">
            <v>5.6</v>
          </cell>
          <cell r="I412">
            <v>0.5</v>
          </cell>
          <cell r="J412">
            <v>2.8</v>
          </cell>
          <cell r="K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2.8</v>
          </cell>
        </row>
        <row r="413">
          <cell r="C413" t="str">
            <v>02I15</v>
          </cell>
          <cell r="D413" t="str">
            <v>NAC CBG PVT - Mustang</v>
          </cell>
          <cell r="E413" t="str">
            <v>Cost Reduction/PVT Programs</v>
          </cell>
          <cell r="F413">
            <v>37438</v>
          </cell>
          <cell r="G413">
            <v>1.518</v>
          </cell>
          <cell r="H413">
            <v>1.1000000000000001</v>
          </cell>
          <cell r="I413">
            <v>1</v>
          </cell>
          <cell r="J413">
            <v>1.1000000000000001</v>
          </cell>
          <cell r="K413">
            <v>0</v>
          </cell>
          <cell r="L413">
            <v>1.1000000000000001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1.1000000000000001</v>
          </cell>
        </row>
        <row r="414">
          <cell r="C414" t="str">
            <v>02I50</v>
          </cell>
          <cell r="D414" t="str">
            <v>NAC PVT/OPD - Central Funds</v>
          </cell>
          <cell r="E414" t="str">
            <v>Cost Reduction/PVT Programs</v>
          </cell>
          <cell r="F414">
            <v>37438</v>
          </cell>
          <cell r="G414">
            <v>1.794</v>
          </cell>
          <cell r="H414">
            <v>1.3</v>
          </cell>
          <cell r="I414">
            <v>0.873</v>
          </cell>
          <cell r="J414">
            <v>1.1349</v>
          </cell>
          <cell r="K414">
            <v>0</v>
          </cell>
          <cell r="L414">
            <v>1.1349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1.1349</v>
          </cell>
        </row>
        <row r="415">
          <cell r="C415" t="str">
            <v>02L15</v>
          </cell>
          <cell r="D415" t="str">
            <v>NAC CBG PVT - Focus</v>
          </cell>
          <cell r="E415" t="str">
            <v>Cost Reduction/PVT Programs</v>
          </cell>
          <cell r="F415">
            <v>37438</v>
          </cell>
          <cell r="G415">
            <v>2.76</v>
          </cell>
          <cell r="H415">
            <v>2</v>
          </cell>
          <cell r="I415">
            <v>1</v>
          </cell>
          <cell r="J415">
            <v>2</v>
          </cell>
          <cell r="K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2</v>
          </cell>
        </row>
        <row r="416">
          <cell r="C416" t="str">
            <v>02L16</v>
          </cell>
          <cell r="D416" t="str">
            <v>NAC CBG PVT - Escort</v>
          </cell>
          <cell r="E416" t="str">
            <v>Cost Reduction/PVT Programs</v>
          </cell>
          <cell r="F416">
            <v>37438</v>
          </cell>
          <cell r="G416">
            <v>0.41499999999999998</v>
          </cell>
          <cell r="H416">
            <v>0.3</v>
          </cell>
          <cell r="I416">
            <v>1</v>
          </cell>
          <cell r="J416">
            <v>0.3</v>
          </cell>
          <cell r="K416">
            <v>0</v>
          </cell>
          <cell r="L416">
            <v>0.3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0.3</v>
          </cell>
        </row>
        <row r="417">
          <cell r="C417" t="str">
            <v>02L35</v>
          </cell>
          <cell r="D417" t="str">
            <v>NAC CBG OPD - C-Car</v>
          </cell>
          <cell r="E417" t="str">
            <v>Cost Reduction/PVT Programs</v>
          </cell>
          <cell r="F417">
            <v>37438</v>
          </cell>
          <cell r="G417">
            <v>8.6940000000000008</v>
          </cell>
          <cell r="H417">
            <v>6.3</v>
          </cell>
          <cell r="I417">
            <v>1</v>
          </cell>
          <cell r="J417">
            <v>6.3</v>
          </cell>
          <cell r="K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6.3</v>
          </cell>
        </row>
        <row r="418">
          <cell r="C418" t="str">
            <v>02T15</v>
          </cell>
          <cell r="D418" t="str">
            <v>NAC CBG PVT - Windstar</v>
          </cell>
          <cell r="E418" t="str">
            <v>Cost Reduction/PVT Programs</v>
          </cell>
          <cell r="F418">
            <v>37438</v>
          </cell>
          <cell r="G418">
            <v>2.0699999999999998</v>
          </cell>
          <cell r="H418">
            <v>1.5</v>
          </cell>
          <cell r="I418">
            <v>1</v>
          </cell>
          <cell r="J418">
            <v>1.5</v>
          </cell>
          <cell r="K418">
            <v>0</v>
          </cell>
          <cell r="L418">
            <v>1.5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1.5</v>
          </cell>
        </row>
        <row r="419">
          <cell r="C419" t="str">
            <v>02T35</v>
          </cell>
          <cell r="D419" t="str">
            <v>NAC CBG OPD - MPV</v>
          </cell>
          <cell r="E419" t="str">
            <v>Cost Reduction/PVT Programs</v>
          </cell>
          <cell r="F419">
            <v>37438</v>
          </cell>
          <cell r="G419">
            <v>4.2789999999999999</v>
          </cell>
          <cell r="H419">
            <v>3.1</v>
          </cell>
          <cell r="I419">
            <v>1</v>
          </cell>
          <cell r="J419">
            <v>3.1</v>
          </cell>
          <cell r="K419">
            <v>0</v>
          </cell>
          <cell r="L419">
            <v>3.1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3.1</v>
          </cell>
        </row>
        <row r="420">
          <cell r="C420" t="str">
            <v>02V15</v>
          </cell>
          <cell r="D420" t="str">
            <v>TVC PVT - Ranger</v>
          </cell>
          <cell r="E420" t="str">
            <v>Cost Reduction/PVT Programs</v>
          </cell>
          <cell r="F420">
            <v>37438</v>
          </cell>
          <cell r="G420">
            <v>2.92</v>
          </cell>
          <cell r="H420">
            <v>2.9</v>
          </cell>
          <cell r="I420">
            <v>1</v>
          </cell>
          <cell r="J420">
            <v>2.9</v>
          </cell>
          <cell r="K420">
            <v>0</v>
          </cell>
          <cell r="L420">
            <v>0.17799999999999999</v>
          </cell>
          <cell r="M420">
            <v>2.5350000000000001</v>
          </cell>
          <cell r="N420">
            <v>0.187</v>
          </cell>
          <cell r="O420">
            <v>0</v>
          </cell>
          <cell r="P420">
            <v>0</v>
          </cell>
          <cell r="Q420">
            <v>2.9</v>
          </cell>
        </row>
        <row r="421">
          <cell r="C421" t="str">
            <v>02X16</v>
          </cell>
          <cell r="D421" t="str">
            <v>TVC DSO Provision</v>
          </cell>
          <cell r="E421" t="str">
            <v>Cost Reduction/PVT Programs</v>
          </cell>
          <cell r="F421">
            <v>37438</v>
          </cell>
          <cell r="G421">
            <v>3</v>
          </cell>
          <cell r="H421">
            <v>2.7</v>
          </cell>
          <cell r="I421">
            <v>1</v>
          </cell>
          <cell r="J421">
            <v>2.7</v>
          </cell>
          <cell r="K421">
            <v>0</v>
          </cell>
          <cell r="L421">
            <v>0</v>
          </cell>
          <cell r="M421">
            <v>1.7</v>
          </cell>
          <cell r="N421">
            <v>1</v>
          </cell>
          <cell r="O421">
            <v>0</v>
          </cell>
          <cell r="P421">
            <v>0</v>
          </cell>
          <cell r="Q421">
            <v>2.7</v>
          </cell>
        </row>
        <row r="422">
          <cell r="C422" t="str">
            <v>02X35</v>
          </cell>
          <cell r="D422" t="str">
            <v>TVC PVT - Central</v>
          </cell>
          <cell r="E422" t="str">
            <v>Cost Reduction/PVT Programs</v>
          </cell>
          <cell r="F422">
            <v>37438</v>
          </cell>
          <cell r="G422">
            <v>41.7</v>
          </cell>
          <cell r="H422">
            <v>25.9</v>
          </cell>
          <cell r="I422">
            <v>0.86</v>
          </cell>
          <cell r="J422">
            <v>22.274000000000001</v>
          </cell>
          <cell r="K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22.274000000000001</v>
          </cell>
        </row>
        <row r="423">
          <cell r="C423" t="str">
            <v>03A90</v>
          </cell>
          <cell r="D423" t="str">
            <v>Capstone Qual - PAG/Car</v>
          </cell>
          <cell r="E423" t="str">
            <v>Cost Reduction/PVT Programs</v>
          </cell>
          <cell r="F423">
            <v>37257</v>
          </cell>
          <cell r="G423">
            <v>15.95</v>
          </cell>
          <cell r="H423">
            <v>15.95</v>
          </cell>
          <cell r="I423">
            <v>0.15</v>
          </cell>
          <cell r="J423">
            <v>2.3925000000000001</v>
          </cell>
          <cell r="K423">
            <v>0</v>
          </cell>
          <cell r="L423">
            <v>1.0700999999999998</v>
          </cell>
          <cell r="M423">
            <v>1.254</v>
          </cell>
          <cell r="N423">
            <v>6.8400000000000002E-2</v>
          </cell>
          <cell r="O423">
            <v>0</v>
          </cell>
          <cell r="P423">
            <v>0</v>
          </cell>
          <cell r="Q423">
            <v>2.3925000000000001</v>
          </cell>
        </row>
        <row r="424">
          <cell r="C424" t="str">
            <v>03X16</v>
          </cell>
          <cell r="D424" t="str">
            <v>TVC DSO Provision</v>
          </cell>
          <cell r="E424" t="str">
            <v>Cost Reduction/PVT Programs</v>
          </cell>
          <cell r="F424">
            <v>37803</v>
          </cell>
          <cell r="G424">
            <v>3</v>
          </cell>
          <cell r="H424">
            <v>2.7</v>
          </cell>
          <cell r="I424">
            <v>1</v>
          </cell>
          <cell r="J424">
            <v>2.7</v>
          </cell>
          <cell r="K424">
            <v>0</v>
          </cell>
          <cell r="L424">
            <v>0</v>
          </cell>
          <cell r="M424">
            <v>0</v>
          </cell>
          <cell r="N424">
            <v>2.7</v>
          </cell>
          <cell r="O424">
            <v>0</v>
          </cell>
          <cell r="P424">
            <v>0</v>
          </cell>
          <cell r="Q424">
            <v>2.7</v>
          </cell>
        </row>
        <row r="425">
          <cell r="C425" t="str">
            <v>04X16</v>
          </cell>
          <cell r="D425" t="str">
            <v>TVC DSO Provision</v>
          </cell>
          <cell r="E425" t="str">
            <v>Cost Reduction/PVT Programs</v>
          </cell>
          <cell r="F425">
            <v>38169</v>
          </cell>
          <cell r="G425">
            <v>3</v>
          </cell>
          <cell r="H425">
            <v>2.7</v>
          </cell>
          <cell r="I425">
            <v>1</v>
          </cell>
          <cell r="J425">
            <v>2.7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2.7</v>
          </cell>
          <cell r="P425">
            <v>0</v>
          </cell>
          <cell r="Q425">
            <v>2.7</v>
          </cell>
        </row>
        <row r="426">
          <cell r="C426" t="str">
            <v>05X16</v>
          </cell>
          <cell r="D426" t="str">
            <v>TVC DSO Provision</v>
          </cell>
          <cell r="E426" t="str">
            <v>Cost Reduction/PVT Programs</v>
          </cell>
          <cell r="F426">
            <v>38534</v>
          </cell>
          <cell r="G426">
            <v>3</v>
          </cell>
          <cell r="H426">
            <v>2.7</v>
          </cell>
          <cell r="I426">
            <v>1</v>
          </cell>
          <cell r="J426">
            <v>2.7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2.7</v>
          </cell>
          <cell r="Q426">
            <v>2.7</v>
          </cell>
        </row>
        <row r="427">
          <cell r="C427" t="str">
            <v>97P09</v>
          </cell>
          <cell r="D427" t="str">
            <v>CAA - - CROSS VEHICLE</v>
          </cell>
          <cell r="E427" t="str">
            <v>Cross Vehicle Line Programs</v>
          </cell>
          <cell r="F427">
            <v>35278</v>
          </cell>
          <cell r="G427">
            <v>43.942999999999998</v>
          </cell>
          <cell r="H427">
            <v>42.994999999999997</v>
          </cell>
          <cell r="I427">
            <v>0.84800000000000009</v>
          </cell>
          <cell r="J427">
            <v>36.459760000000003</v>
          </cell>
          <cell r="K427">
            <v>0.46385599999999999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</row>
        <row r="428">
          <cell r="C428" t="str">
            <v>98O16</v>
          </cell>
          <cell r="D428" t="str">
            <v>Dip Phosphate - NA</v>
          </cell>
          <cell r="E428" t="str">
            <v>Cross Vehicle Line Programs</v>
          </cell>
          <cell r="F428">
            <v>35643</v>
          </cell>
          <cell r="G428">
            <v>56.244</v>
          </cell>
          <cell r="H428">
            <v>53.713000000000001</v>
          </cell>
          <cell r="I428">
            <v>0.84</v>
          </cell>
          <cell r="J428">
            <v>45.118919999999996</v>
          </cell>
          <cell r="K428">
            <v>6.1320000000000006E-2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</row>
        <row r="429">
          <cell r="C429" t="str">
            <v>98O60</v>
          </cell>
          <cell r="D429" t="str">
            <v>Extended Warranty Repair-NA</v>
          </cell>
          <cell r="E429" t="str">
            <v>Cross Vehicle Line Programs</v>
          </cell>
          <cell r="F429">
            <v>35643</v>
          </cell>
          <cell r="G429">
            <v>93.311999999999998</v>
          </cell>
          <cell r="H429">
            <v>78.643000000000001</v>
          </cell>
          <cell r="I429">
            <v>0.59023442645880753</v>
          </cell>
          <cell r="J429">
            <v>46.417805999999999</v>
          </cell>
          <cell r="K429">
            <v>5.3800559999999997</v>
          </cell>
          <cell r="L429">
            <v>4.9409999999999998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4.9409999999999998</v>
          </cell>
        </row>
        <row r="430">
          <cell r="C430" t="str">
            <v>98P09</v>
          </cell>
          <cell r="D430" t="str">
            <v>CAA- CROSS VEHICLE</v>
          </cell>
          <cell r="E430" t="str">
            <v>Cross Vehicle Line Programs</v>
          </cell>
          <cell r="F430">
            <v>35643</v>
          </cell>
          <cell r="G430">
            <v>92.671000000000006</v>
          </cell>
          <cell r="H430">
            <v>74.635000000000005</v>
          </cell>
          <cell r="I430">
            <v>0.85899999999999987</v>
          </cell>
          <cell r="J430">
            <v>64.111464999999995</v>
          </cell>
          <cell r="K430">
            <v>8.5900000000000004E-2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</row>
        <row r="431">
          <cell r="C431" t="str">
            <v>99I04</v>
          </cell>
          <cell r="D431" t="str">
            <v>MUSTANG QUALITY IMPROVEMENTS</v>
          </cell>
          <cell r="E431" t="str">
            <v>Cross Vehicle Line Programs</v>
          </cell>
          <cell r="F431">
            <v>36251</v>
          </cell>
          <cell r="G431">
            <v>13.474</v>
          </cell>
          <cell r="H431">
            <v>6.181</v>
          </cell>
          <cell r="I431">
            <v>1</v>
          </cell>
          <cell r="J431">
            <v>6.181</v>
          </cell>
          <cell r="K431">
            <v>0.17499999999999999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</row>
        <row r="432">
          <cell r="C432" t="str">
            <v>99O11</v>
          </cell>
          <cell r="D432" t="str">
            <v>Cross CBG Programs</v>
          </cell>
          <cell r="E432" t="str">
            <v>Cross Vehicle Line Programs</v>
          </cell>
          <cell r="F432">
            <v>36342</v>
          </cell>
          <cell r="G432">
            <v>11.196</v>
          </cell>
          <cell r="H432">
            <v>4.5419999999999998</v>
          </cell>
          <cell r="I432">
            <v>0.61068053720827842</v>
          </cell>
          <cell r="J432">
            <v>2.7737110000000005</v>
          </cell>
          <cell r="K432">
            <v>0.11596500000000001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</row>
        <row r="433">
          <cell r="C433" t="str">
            <v>99O20</v>
          </cell>
          <cell r="D433" t="str">
            <v>Dip Phosphate - NA</v>
          </cell>
          <cell r="E433" t="str">
            <v>Cross Vehicle Line Programs</v>
          </cell>
          <cell r="F433">
            <v>36008</v>
          </cell>
          <cell r="G433">
            <v>138.13999999999999</v>
          </cell>
          <cell r="H433">
            <v>127.101</v>
          </cell>
          <cell r="I433">
            <v>0.65</v>
          </cell>
          <cell r="J433">
            <v>82.615650000000002</v>
          </cell>
          <cell r="K433">
            <v>0.24570000000000003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</row>
        <row r="434">
          <cell r="C434" t="str">
            <v>99O41</v>
          </cell>
          <cell r="D434" t="str">
            <v>COST REDUCTIONS</v>
          </cell>
          <cell r="E434" t="str">
            <v>Cross Vehicle Line Programs</v>
          </cell>
          <cell r="F434">
            <v>36342</v>
          </cell>
          <cell r="G434">
            <v>4.4489999999999998</v>
          </cell>
          <cell r="H434">
            <v>4.4489999999999998</v>
          </cell>
          <cell r="I434">
            <v>0.80685142728703085</v>
          </cell>
          <cell r="J434">
            <v>3.5896820000000003</v>
          </cell>
          <cell r="K434">
            <v>7.9028000000000001E-2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</row>
        <row r="435">
          <cell r="C435" t="str">
            <v>00O11</v>
          </cell>
          <cell r="D435" t="str">
            <v>Cross CBG Programs</v>
          </cell>
          <cell r="E435" t="str">
            <v>Cross Vehicle Line Programs</v>
          </cell>
          <cell r="F435">
            <v>36708</v>
          </cell>
          <cell r="G435">
            <v>3.9969999999999999</v>
          </cell>
          <cell r="H435">
            <v>1.4970000000000001</v>
          </cell>
          <cell r="I435">
            <v>0.85100000000000009</v>
          </cell>
          <cell r="J435">
            <v>1.2739470000000002</v>
          </cell>
          <cell r="K435">
            <v>0.88929499999999995</v>
          </cell>
          <cell r="L435">
            <v>0.14552100000000001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0.14552100000000001</v>
          </cell>
        </row>
        <row r="436">
          <cell r="C436" t="str">
            <v>00O16</v>
          </cell>
          <cell r="D436" t="str">
            <v>Dip Phosphate - NA</v>
          </cell>
          <cell r="E436" t="str">
            <v>Cross Vehicle Line Programs</v>
          </cell>
          <cell r="F436">
            <v>36373</v>
          </cell>
          <cell r="G436">
            <v>68.572999999999993</v>
          </cell>
          <cell r="H436">
            <v>58.686</v>
          </cell>
          <cell r="I436">
            <v>0.99080860852673569</v>
          </cell>
          <cell r="J436">
            <v>58.146594000000007</v>
          </cell>
          <cell r="K436">
            <v>-1.248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</row>
        <row r="437">
          <cell r="C437" t="str">
            <v>00O41</v>
          </cell>
          <cell r="D437" t="str">
            <v>Cross CBG Cost Reductions</v>
          </cell>
          <cell r="E437" t="str">
            <v>Cross Vehicle Line Programs</v>
          </cell>
          <cell r="F437">
            <v>36708</v>
          </cell>
          <cell r="G437">
            <v>6.1310000000000002</v>
          </cell>
          <cell r="H437">
            <v>6.1310000000000002</v>
          </cell>
          <cell r="I437">
            <v>0.85099999999999998</v>
          </cell>
          <cell r="J437">
            <v>5.2174810000000003</v>
          </cell>
          <cell r="K437">
            <v>-0.24678999999999998</v>
          </cell>
          <cell r="L437">
            <v>0.37954600000000005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0.37954600000000005</v>
          </cell>
        </row>
        <row r="438">
          <cell r="C438" t="str">
            <v>00O43</v>
          </cell>
          <cell r="D438" t="str">
            <v>Rear Rail Blank Insource</v>
          </cell>
          <cell r="E438" t="str">
            <v>Cross Vehicle Line Programs</v>
          </cell>
          <cell r="F438">
            <v>36495</v>
          </cell>
          <cell r="G438">
            <v>5.9640000000000004</v>
          </cell>
          <cell r="H438">
            <v>5.8390000000000004</v>
          </cell>
          <cell r="I438">
            <v>0.63400000000000001</v>
          </cell>
          <cell r="J438">
            <v>3.7019260000000003</v>
          </cell>
          <cell r="K438">
            <v>2.324878</v>
          </cell>
          <cell r="L438">
            <v>1.377048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1.377048</v>
          </cell>
        </row>
        <row r="439">
          <cell r="C439" t="str">
            <v>01507</v>
          </cell>
          <cell r="D439" t="str">
            <v>TAF-Side Impact Air Curtain</v>
          </cell>
          <cell r="E439" t="str">
            <v>Cross Vehicle Line Programs</v>
          </cell>
          <cell r="F439">
            <v>36708</v>
          </cell>
          <cell r="G439">
            <v>0.499</v>
          </cell>
          <cell r="H439">
            <v>0.499</v>
          </cell>
          <cell r="I439">
            <v>1</v>
          </cell>
          <cell r="J439">
            <v>0.499</v>
          </cell>
          <cell r="K439">
            <v>0.499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</row>
        <row r="440">
          <cell r="C440" t="str">
            <v>01O11</v>
          </cell>
          <cell r="D440" t="str">
            <v>Cross CBG Programs</v>
          </cell>
          <cell r="E440" t="str">
            <v>Cross Vehicle Line Programs</v>
          </cell>
          <cell r="F440">
            <v>37073</v>
          </cell>
          <cell r="G440">
            <v>10.387</v>
          </cell>
          <cell r="H440">
            <v>10.145</v>
          </cell>
          <cell r="I440">
            <v>0.86099999999999999</v>
          </cell>
          <cell r="J440">
            <v>8.734845</v>
          </cell>
          <cell r="K440">
            <v>3.3949230000000004</v>
          </cell>
          <cell r="L440">
            <v>4.9886339999999993</v>
          </cell>
          <cell r="M440">
            <v>0.35128800000000004</v>
          </cell>
          <cell r="N440">
            <v>0</v>
          </cell>
          <cell r="O440">
            <v>0</v>
          </cell>
          <cell r="P440">
            <v>0</v>
          </cell>
          <cell r="Q440">
            <v>5.3399219999999996</v>
          </cell>
        </row>
        <row r="441">
          <cell r="C441" t="str">
            <v>01O12</v>
          </cell>
          <cell r="D441" t="str">
            <v>Advanced Restraints</v>
          </cell>
          <cell r="E441" t="str">
            <v>Cross Vehicle Line Programs</v>
          </cell>
          <cell r="F441">
            <v>36739</v>
          </cell>
          <cell r="G441">
            <v>10.494</v>
          </cell>
          <cell r="H441">
            <v>8.4939999999999998</v>
          </cell>
          <cell r="I441">
            <v>0.56421462208617845</v>
          </cell>
          <cell r="J441">
            <v>4.7924389999999999</v>
          </cell>
          <cell r="K441">
            <v>3.1677590000000002</v>
          </cell>
          <cell r="L441">
            <v>1.543358</v>
          </cell>
          <cell r="M441">
            <v>8.1322000000000005E-2</v>
          </cell>
          <cell r="N441">
            <v>0</v>
          </cell>
          <cell r="O441">
            <v>0</v>
          </cell>
          <cell r="P441">
            <v>0</v>
          </cell>
          <cell r="Q441">
            <v>1.6246800000000001</v>
          </cell>
        </row>
        <row r="442">
          <cell r="C442" t="str">
            <v>01O16</v>
          </cell>
          <cell r="D442" t="str">
            <v>Dip Phosphate - NA</v>
          </cell>
          <cell r="E442" t="str">
            <v>Cross Vehicle Line Programs</v>
          </cell>
          <cell r="F442">
            <v>36739</v>
          </cell>
          <cell r="G442">
            <v>21.821999999999999</v>
          </cell>
          <cell r="H442">
            <v>15.401999999999999</v>
          </cell>
          <cell r="I442">
            <v>0.45700000000000007</v>
          </cell>
          <cell r="J442">
            <v>7.0387140000000006</v>
          </cell>
          <cell r="K442">
            <v>0.23169900000000002</v>
          </cell>
          <cell r="L442">
            <v>2.4001640000000002</v>
          </cell>
          <cell r="M442">
            <v>2.1698360000000001</v>
          </cell>
          <cell r="N442">
            <v>0</v>
          </cell>
          <cell r="O442">
            <v>0</v>
          </cell>
          <cell r="P442">
            <v>0</v>
          </cell>
          <cell r="Q442">
            <v>4.57</v>
          </cell>
        </row>
        <row r="443">
          <cell r="C443" t="str">
            <v>01X11</v>
          </cell>
          <cell r="D443" t="str">
            <v>Seat Integrated Restraints</v>
          </cell>
          <cell r="E443" t="str">
            <v>Cross Vehicle Line Programs</v>
          </cell>
          <cell r="F443">
            <v>36801</v>
          </cell>
          <cell r="G443">
            <v>28.003</v>
          </cell>
          <cell r="H443">
            <v>25.088999999999999</v>
          </cell>
          <cell r="I443">
            <v>1</v>
          </cell>
          <cell r="J443">
            <v>25.089000000000002</v>
          </cell>
          <cell r="K443">
            <v>24.425000000000001</v>
          </cell>
          <cell r="L443">
            <v>0.66400000000000003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0.66400000000000003</v>
          </cell>
        </row>
        <row r="444">
          <cell r="C444" t="str">
            <v>02O11</v>
          </cell>
          <cell r="D444" t="str">
            <v>Cross CBG Programs</v>
          </cell>
          <cell r="E444" t="str">
            <v>Cross Vehicle Line Programs</v>
          </cell>
          <cell r="F444">
            <v>37438</v>
          </cell>
          <cell r="G444">
            <v>22.241</v>
          </cell>
          <cell r="H444">
            <v>11.903</v>
          </cell>
          <cell r="I444">
            <v>0.86099999999999999</v>
          </cell>
          <cell r="J444">
            <v>10.248483</v>
          </cell>
          <cell r="K444">
            <v>0</v>
          </cell>
          <cell r="L444">
            <v>0.97637399999999996</v>
          </cell>
          <cell r="M444">
            <v>8.2492410000000014</v>
          </cell>
          <cell r="N444">
            <v>1.0228680000000001</v>
          </cell>
          <cell r="O444">
            <v>0</v>
          </cell>
          <cell r="P444">
            <v>0</v>
          </cell>
          <cell r="Q444">
            <v>10.248483</v>
          </cell>
        </row>
        <row r="445">
          <cell r="C445" t="str">
            <v>02O20</v>
          </cell>
          <cell r="D445" t="str">
            <v>VO End-of-Line Testing-NA</v>
          </cell>
          <cell r="E445" t="str">
            <v>Cross Vehicle Line Programs</v>
          </cell>
          <cell r="F445">
            <v>37288</v>
          </cell>
          <cell r="G445">
            <v>3.1840000000000002</v>
          </cell>
          <cell r="H445">
            <v>3.1840000000000002</v>
          </cell>
          <cell r="I445">
            <v>0.698751256281407</v>
          </cell>
          <cell r="J445">
            <v>2.2248239999999999</v>
          </cell>
          <cell r="K445">
            <v>2.2248239999999999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</row>
        <row r="446">
          <cell r="C446" t="str">
            <v>02O50</v>
          </cell>
          <cell r="D446" t="str">
            <v>Truck Tire Pressure Sensor</v>
          </cell>
          <cell r="E446" t="str">
            <v>Cross Vehicle Line Programs</v>
          </cell>
          <cell r="F446">
            <v>37165</v>
          </cell>
          <cell r="G446">
            <v>30</v>
          </cell>
          <cell r="H446">
            <v>17.164999999999999</v>
          </cell>
          <cell r="I446">
            <v>1</v>
          </cell>
          <cell r="J446">
            <v>17.164999999999999</v>
          </cell>
          <cell r="K446">
            <v>0</v>
          </cell>
          <cell r="L446">
            <v>8.7460000000000004</v>
          </cell>
          <cell r="M446">
            <v>8.4190000000000005</v>
          </cell>
          <cell r="N446">
            <v>0</v>
          </cell>
          <cell r="O446">
            <v>0</v>
          </cell>
          <cell r="P446">
            <v>0</v>
          </cell>
          <cell r="Q446">
            <v>17.164999999999999</v>
          </cell>
        </row>
        <row r="447">
          <cell r="C447" t="str">
            <v>03O51</v>
          </cell>
          <cell r="D447" t="str">
            <v>Truck Telematics Provision</v>
          </cell>
          <cell r="E447" t="str">
            <v>Cross Vehicle Line Programs</v>
          </cell>
          <cell r="F447">
            <v>37469</v>
          </cell>
          <cell r="G447">
            <v>40</v>
          </cell>
          <cell r="H447">
            <v>30</v>
          </cell>
          <cell r="I447">
            <v>1</v>
          </cell>
          <cell r="J447">
            <v>30</v>
          </cell>
          <cell r="K447">
            <v>0</v>
          </cell>
          <cell r="L447">
            <v>1.0900000000000001</v>
          </cell>
          <cell r="M447">
            <v>17.824999999999999</v>
          </cell>
          <cell r="N447">
            <v>11.085000000000001</v>
          </cell>
          <cell r="O447">
            <v>0</v>
          </cell>
          <cell r="P447">
            <v>0</v>
          </cell>
          <cell r="Q447">
            <v>30</v>
          </cell>
        </row>
        <row r="448">
          <cell r="C448" t="str">
            <v>03P22</v>
          </cell>
          <cell r="D448" t="str">
            <v>CVT: CFT23 at ZF-Batavia-VT</v>
          </cell>
          <cell r="E448" t="str">
            <v>CVT Transmission</v>
          </cell>
          <cell r="F448">
            <v>37622</v>
          </cell>
          <cell r="G448">
            <v>59.2</v>
          </cell>
          <cell r="H448">
            <v>23.2</v>
          </cell>
          <cell r="I448">
            <v>0.58200000000000007</v>
          </cell>
          <cell r="J448">
            <v>13.502400000000002</v>
          </cell>
          <cell r="K448">
            <v>0</v>
          </cell>
          <cell r="L448">
            <v>0.81712799999999997</v>
          </cell>
          <cell r="M448">
            <v>7.0951620000000002</v>
          </cell>
          <cell r="N448">
            <v>4.8003359999999997</v>
          </cell>
          <cell r="O448">
            <v>0.78977399999999998</v>
          </cell>
          <cell r="P448">
            <v>0</v>
          </cell>
          <cell r="Q448">
            <v>13.502400000000002</v>
          </cell>
        </row>
        <row r="449">
          <cell r="C449" t="str">
            <v>04P20</v>
          </cell>
          <cell r="D449" t="str">
            <v>CFT30 CD/D at Batavia</v>
          </cell>
          <cell r="E449" t="str">
            <v>CVT Transmission</v>
          </cell>
          <cell r="F449">
            <v>37834</v>
          </cell>
          <cell r="G449">
            <v>114.3</v>
          </cell>
          <cell r="H449">
            <v>75.3</v>
          </cell>
          <cell r="I449">
            <v>0.97</v>
          </cell>
          <cell r="J449">
            <v>73.040999999999997</v>
          </cell>
          <cell r="K449">
            <v>0</v>
          </cell>
          <cell r="L449">
            <v>0</v>
          </cell>
          <cell r="M449">
            <v>12.53919</v>
          </cell>
          <cell r="N449">
            <v>45.297060000000002</v>
          </cell>
          <cell r="O449">
            <v>15.204750000000001</v>
          </cell>
          <cell r="P449">
            <v>0</v>
          </cell>
          <cell r="Q449">
            <v>73.040999999999997</v>
          </cell>
        </row>
        <row r="450">
          <cell r="C450" t="str">
            <v>04S53</v>
          </cell>
          <cell r="D450" t="str">
            <v>CFT23 (NA &amp; EU) for C307</v>
          </cell>
          <cell r="E450" t="str">
            <v>CVT Transmission</v>
          </cell>
          <cell r="F450">
            <v>38018</v>
          </cell>
          <cell r="G450">
            <v>21</v>
          </cell>
          <cell r="H450">
            <v>11.96</v>
          </cell>
          <cell r="I450">
            <v>0.86</v>
          </cell>
          <cell r="J450">
            <v>10.285600000000002</v>
          </cell>
          <cell r="K450">
            <v>0</v>
          </cell>
          <cell r="L450">
            <v>0.54610000000000003</v>
          </cell>
          <cell r="M450">
            <v>3.6412400000000003</v>
          </cell>
          <cell r="N450">
            <v>5.2761000000000005</v>
          </cell>
          <cell r="O450">
            <v>0.82216</v>
          </cell>
          <cell r="P450">
            <v>0</v>
          </cell>
          <cell r="Q450">
            <v>10.285600000000002</v>
          </cell>
        </row>
        <row r="451">
          <cell r="C451" t="str">
            <v>07P18</v>
          </cell>
          <cell r="D451" t="str">
            <v>CFT23 for N.A. C307</v>
          </cell>
          <cell r="E451" t="str">
            <v>CVT Transmission</v>
          </cell>
          <cell r="F451">
            <v>38930</v>
          </cell>
          <cell r="G451">
            <v>20</v>
          </cell>
          <cell r="H451">
            <v>13</v>
          </cell>
          <cell r="I451">
            <v>1</v>
          </cell>
          <cell r="J451">
            <v>13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1.6E-2</v>
          </cell>
          <cell r="P451">
            <v>4.899</v>
          </cell>
          <cell r="Q451">
            <v>4.915</v>
          </cell>
        </row>
        <row r="452">
          <cell r="C452" t="str">
            <v>07P20</v>
          </cell>
          <cell r="D452" t="str">
            <v>CFT23 for C170</v>
          </cell>
          <cell r="E452" t="str">
            <v>CVT Transmission</v>
          </cell>
          <cell r="F452">
            <v>38930</v>
          </cell>
          <cell r="G452">
            <v>420</v>
          </cell>
          <cell r="H452">
            <v>340</v>
          </cell>
          <cell r="I452">
            <v>1</v>
          </cell>
          <cell r="J452">
            <v>340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58.369</v>
          </cell>
          <cell r="Q452">
            <v>58.369</v>
          </cell>
        </row>
        <row r="453">
          <cell r="C453" t="str">
            <v>07P60</v>
          </cell>
          <cell r="D453" t="str">
            <v>CFT40 at tbd Ford Facility</v>
          </cell>
          <cell r="E453" t="str">
            <v>CVT Transmission</v>
          </cell>
          <cell r="F453">
            <v>39114</v>
          </cell>
          <cell r="G453">
            <v>349.3</v>
          </cell>
          <cell r="H453">
            <v>219.3</v>
          </cell>
          <cell r="I453">
            <v>1</v>
          </cell>
          <cell r="J453">
            <v>219.3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10.135999999999999</v>
          </cell>
          <cell r="Q453">
            <v>10.135999999999999</v>
          </cell>
        </row>
        <row r="454">
          <cell r="C454" t="str">
            <v>01P40</v>
          </cell>
          <cell r="D454" t="str">
            <v>DURATEC VALUE PROGRAM</v>
          </cell>
          <cell r="E454" t="str">
            <v>Duratec V6</v>
          </cell>
          <cell r="F454">
            <v>36739</v>
          </cell>
          <cell r="G454">
            <v>35.017000000000003</v>
          </cell>
          <cell r="H454">
            <v>17.783999999999999</v>
          </cell>
          <cell r="I454">
            <v>0.52700000000000002</v>
          </cell>
          <cell r="J454">
            <v>9.3721680000000003</v>
          </cell>
          <cell r="K454">
            <v>2.691389</v>
          </cell>
          <cell r="L454">
            <v>5.9640590000000007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5.9640590000000007</v>
          </cell>
        </row>
        <row r="455">
          <cell r="C455" t="str">
            <v>01P42</v>
          </cell>
          <cell r="D455" t="str">
            <v>CEPII Cooling Upgrd (Capac)</v>
          </cell>
          <cell r="E455" t="str">
            <v>Duratec V6</v>
          </cell>
          <cell r="F455">
            <v>36951</v>
          </cell>
          <cell r="G455">
            <v>2.1760000000000002</v>
          </cell>
          <cell r="H455">
            <v>2.1720000000000002</v>
          </cell>
          <cell r="I455">
            <v>1</v>
          </cell>
          <cell r="J455">
            <v>2.1720000000000002</v>
          </cell>
          <cell r="K455">
            <v>0.96899999999999997</v>
          </cell>
          <cell r="L455">
            <v>1.2030000000000001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1.2030000000000001</v>
          </cell>
        </row>
        <row r="456">
          <cell r="C456" t="str">
            <v>01P90</v>
          </cell>
          <cell r="D456" t="str">
            <v>CEP#2 / U204 Dunnage</v>
          </cell>
          <cell r="E456" t="str">
            <v>Duratec V6</v>
          </cell>
          <cell r="F456">
            <v>36861</v>
          </cell>
          <cell r="G456">
            <v>2.2440000000000002</v>
          </cell>
          <cell r="H456">
            <v>1.8779999999999999</v>
          </cell>
          <cell r="I456">
            <v>1</v>
          </cell>
          <cell r="J456">
            <v>1.8780000000000001</v>
          </cell>
          <cell r="K456">
            <v>1.401</v>
          </cell>
          <cell r="L456">
            <v>0.47699999999999998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0.47699999999999998</v>
          </cell>
        </row>
        <row r="457">
          <cell r="C457" t="str">
            <v>02P45</v>
          </cell>
          <cell r="D457" t="str">
            <v>3.0L Duratec High-Perf for J56</v>
          </cell>
          <cell r="E457" t="str">
            <v>Duratec V6</v>
          </cell>
          <cell r="F457">
            <v>37530</v>
          </cell>
          <cell r="G457">
            <v>41.823999999999998</v>
          </cell>
          <cell r="H457">
            <v>25.992000000000001</v>
          </cell>
          <cell r="I457">
            <v>1</v>
          </cell>
          <cell r="J457">
            <v>25.992000000000001</v>
          </cell>
          <cell r="K457">
            <v>0.14199999999999999</v>
          </cell>
          <cell r="L457">
            <v>5.28</v>
          </cell>
          <cell r="M457">
            <v>13.38</v>
          </cell>
          <cell r="N457">
            <v>7.19</v>
          </cell>
          <cell r="O457">
            <v>0</v>
          </cell>
          <cell r="P457">
            <v>0</v>
          </cell>
          <cell r="Q457">
            <v>25.85</v>
          </cell>
        </row>
        <row r="458">
          <cell r="C458" t="str">
            <v>02P66</v>
          </cell>
          <cell r="D458" t="str">
            <v>3.0 RFF Duratec Capacity</v>
          </cell>
          <cell r="E458" t="str">
            <v>Duratec V6</v>
          </cell>
          <cell r="F458">
            <v>37104</v>
          </cell>
          <cell r="G458">
            <v>90.215000000000003</v>
          </cell>
          <cell r="H458">
            <v>72.338999999999999</v>
          </cell>
          <cell r="I458">
            <v>0.86299999999999999</v>
          </cell>
          <cell r="J458">
            <v>62.428556999999998</v>
          </cell>
          <cell r="K458">
            <v>23.584927</v>
          </cell>
          <cell r="L458">
            <v>33.577604000000001</v>
          </cell>
          <cell r="M458">
            <v>5.079618</v>
          </cell>
          <cell r="N458">
            <v>0</v>
          </cell>
          <cell r="O458">
            <v>0</v>
          </cell>
          <cell r="P458">
            <v>0</v>
          </cell>
          <cell r="Q458">
            <v>38.657222000000004</v>
          </cell>
        </row>
        <row r="459">
          <cell r="C459" t="str">
            <v>02P67</v>
          </cell>
          <cell r="D459" t="str">
            <v>Duratec Cap Incr for D186/U204</v>
          </cell>
          <cell r="E459" t="str">
            <v>Duratec V6</v>
          </cell>
          <cell r="F459">
            <v>37104</v>
          </cell>
          <cell r="G459">
            <v>22.228999999999999</v>
          </cell>
          <cell r="H459">
            <v>18.948</v>
          </cell>
          <cell r="I459">
            <v>0.92700000000000005</v>
          </cell>
          <cell r="J459">
            <v>17.564796000000001</v>
          </cell>
          <cell r="K459">
            <v>0</v>
          </cell>
          <cell r="L459">
            <v>17.564796000000001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17.564796000000001</v>
          </cell>
        </row>
        <row r="460">
          <cell r="C460" t="str">
            <v>03P40</v>
          </cell>
          <cell r="D460" t="str">
            <v>V6 Duratec D219/D258 - CEP I</v>
          </cell>
          <cell r="E460" t="str">
            <v>Duratec V6</v>
          </cell>
          <cell r="F460">
            <v>37834</v>
          </cell>
          <cell r="G460">
            <v>576.1</v>
          </cell>
          <cell r="H460">
            <v>463.33</v>
          </cell>
          <cell r="I460">
            <v>1</v>
          </cell>
          <cell r="J460">
            <v>463.33</v>
          </cell>
          <cell r="K460">
            <v>0.71300000000000008</v>
          </cell>
          <cell r="L460">
            <v>0.38</v>
          </cell>
          <cell r="M460">
            <v>200.65100000000001</v>
          </cell>
          <cell r="N460">
            <v>215.69799999999998</v>
          </cell>
          <cell r="O460">
            <v>45.887999999999998</v>
          </cell>
          <cell r="P460">
            <v>0</v>
          </cell>
          <cell r="Q460">
            <v>462.61699999999996</v>
          </cell>
        </row>
        <row r="461">
          <cell r="C461" t="str">
            <v>05P49</v>
          </cell>
          <cell r="D461" t="str">
            <v>Duratec Fuel Econ for RFF</v>
          </cell>
          <cell r="E461" t="str">
            <v>Duratec V6</v>
          </cell>
          <cell r="F461">
            <v>38200</v>
          </cell>
          <cell r="G461">
            <v>122</v>
          </cell>
          <cell r="H461">
            <v>59.6</v>
          </cell>
          <cell r="I461">
            <v>0.86299999999999988</v>
          </cell>
          <cell r="J461">
            <v>51.434799999999996</v>
          </cell>
          <cell r="K461">
            <v>0</v>
          </cell>
          <cell r="L461">
            <v>0</v>
          </cell>
          <cell r="M461">
            <v>6.5587999999999994E-2</v>
          </cell>
          <cell r="N461">
            <v>19.376939</v>
          </cell>
          <cell r="O461">
            <v>26.252459999999999</v>
          </cell>
          <cell r="P461">
            <v>5.7398129999999998</v>
          </cell>
          <cell r="Q461">
            <v>51.434799999999996</v>
          </cell>
        </row>
        <row r="462">
          <cell r="C462" t="str">
            <v>AAO80</v>
          </cell>
          <cell r="D462" t="str">
            <v>Ford Brand Effic Under Study</v>
          </cell>
          <cell r="E462" t="str">
            <v>Efficiencies Under Study - Product</v>
          </cell>
          <cell r="F462">
            <v>37834</v>
          </cell>
          <cell r="G462">
            <v>-116.2</v>
          </cell>
          <cell r="H462">
            <v>-116.2</v>
          </cell>
          <cell r="I462">
            <v>1</v>
          </cell>
          <cell r="J462">
            <v>-116.2</v>
          </cell>
          <cell r="K462">
            <v>0</v>
          </cell>
          <cell r="L462">
            <v>0</v>
          </cell>
          <cell r="M462">
            <v>-42.9</v>
          </cell>
          <cell r="N462">
            <v>-25.960999999999999</v>
          </cell>
          <cell r="O462">
            <v>-22.88</v>
          </cell>
          <cell r="P462">
            <v>-24.459</v>
          </cell>
          <cell r="Q462">
            <v>-116.2</v>
          </cell>
        </row>
        <row r="463">
          <cell r="C463" t="str">
            <v>98A36</v>
          </cell>
          <cell r="D463" t="str">
            <v>MUSTANG CLEAN AIR</v>
          </cell>
          <cell r="E463" t="str">
            <v>Emissions</v>
          </cell>
          <cell r="F463">
            <v>35688</v>
          </cell>
          <cell r="G463">
            <v>73.748000000000005</v>
          </cell>
          <cell r="H463">
            <v>13.369</v>
          </cell>
          <cell r="I463">
            <v>1</v>
          </cell>
          <cell r="J463">
            <v>13.369</v>
          </cell>
          <cell r="K463">
            <v>2.5000000000000001E-2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</row>
        <row r="464">
          <cell r="C464" t="str">
            <v>99J21</v>
          </cell>
          <cell r="D464" t="str">
            <v>CDW/SW EMISSIONS</v>
          </cell>
          <cell r="E464" t="str">
            <v>Emissions</v>
          </cell>
          <cell r="F464">
            <v>36304</v>
          </cell>
          <cell r="G464">
            <v>4.7450000000000001</v>
          </cell>
          <cell r="H464">
            <v>4.6970000000000001</v>
          </cell>
          <cell r="I464">
            <v>0.22028124334681717</v>
          </cell>
          <cell r="J464">
            <v>1.0346610000000003</v>
          </cell>
          <cell r="K464">
            <v>6.8500000000000002E-3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</row>
        <row r="465">
          <cell r="C465" t="str">
            <v>99P23</v>
          </cell>
          <cell r="D465" t="str">
            <v>ZETEC Improvements</v>
          </cell>
          <cell r="E465" t="str">
            <v>Emissions</v>
          </cell>
          <cell r="F465">
            <v>36342</v>
          </cell>
          <cell r="G465">
            <v>765.37800000000004</v>
          </cell>
          <cell r="H465">
            <v>684.92600000000004</v>
          </cell>
          <cell r="I465">
            <v>0.46399999999999991</v>
          </cell>
          <cell r="J465">
            <v>317.80566399999998</v>
          </cell>
          <cell r="K465">
            <v>1.7622720000000003</v>
          </cell>
          <cell r="L465">
            <v>0.338256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0.338256</v>
          </cell>
        </row>
        <row r="466">
          <cell r="C466" t="str">
            <v>00P04</v>
          </cell>
          <cell r="D466" t="str">
            <v>CROSS VEHICLE EMISSIONS</v>
          </cell>
          <cell r="E466" t="str">
            <v>Emissions</v>
          </cell>
          <cell r="F466">
            <v>36373</v>
          </cell>
          <cell r="G466">
            <v>6.8319999999999999</v>
          </cell>
          <cell r="H466">
            <v>4.1769999999999996</v>
          </cell>
          <cell r="I466">
            <v>0.84399999999999997</v>
          </cell>
          <cell r="J466">
            <v>3.5253879999999995</v>
          </cell>
          <cell r="K466">
            <v>1.5884079999999998</v>
          </cell>
          <cell r="L466">
            <v>2.2788000000000003E-2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2.2788000000000003E-2</v>
          </cell>
        </row>
        <row r="467">
          <cell r="C467" t="str">
            <v>00W36</v>
          </cell>
          <cell r="D467" t="str">
            <v>E-Series LEV</v>
          </cell>
          <cell r="E467" t="str">
            <v>Emissions</v>
          </cell>
          <cell r="F467">
            <v>36388</v>
          </cell>
          <cell r="G467">
            <v>50.796999999999997</v>
          </cell>
          <cell r="H467">
            <v>6.1479999999999997</v>
          </cell>
          <cell r="I467">
            <v>1</v>
          </cell>
          <cell r="J467">
            <v>6.1479999999999997</v>
          </cell>
          <cell r="K467">
            <v>5.9550000000000001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</row>
        <row r="468">
          <cell r="C468" t="str">
            <v>01L36</v>
          </cell>
          <cell r="D468" t="str">
            <v>ULEV for C170</v>
          </cell>
          <cell r="E468" t="str">
            <v>Emissions</v>
          </cell>
          <cell r="F468">
            <v>36739</v>
          </cell>
          <cell r="G468">
            <v>14.074</v>
          </cell>
          <cell r="H468">
            <v>0.29899999999999999</v>
          </cell>
          <cell r="I468">
            <v>1</v>
          </cell>
          <cell r="J468">
            <v>0.29899999999999999</v>
          </cell>
          <cell r="K468">
            <v>0.29899999999999999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>
            <v>0</v>
          </cell>
        </row>
        <row r="469">
          <cell r="C469" t="str">
            <v>01P03</v>
          </cell>
          <cell r="D469" t="str">
            <v>PTEC-DEW/Explorer/X200</v>
          </cell>
          <cell r="E469" t="str">
            <v>Emissions</v>
          </cell>
          <cell r="F469">
            <v>36739</v>
          </cell>
          <cell r="G469">
            <v>0.65</v>
          </cell>
          <cell r="H469">
            <v>0.65</v>
          </cell>
          <cell r="I469">
            <v>0.65</v>
          </cell>
          <cell r="J469">
            <v>0.42249999999999999</v>
          </cell>
          <cell r="K469">
            <v>4.095E-2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  <cell r="Q469">
            <v>0</v>
          </cell>
        </row>
        <row r="470">
          <cell r="C470" t="str">
            <v>01S48</v>
          </cell>
          <cell r="D470" t="str">
            <v>4.0L SOHC FFV (EXPLORER)</v>
          </cell>
          <cell r="E470" t="str">
            <v>Emissions</v>
          </cell>
          <cell r="F470">
            <v>37088</v>
          </cell>
          <cell r="G470">
            <v>14.477</v>
          </cell>
          <cell r="H470">
            <v>8.077</v>
          </cell>
          <cell r="I470">
            <v>0.85</v>
          </cell>
          <cell r="J470">
            <v>6.8654500000000001</v>
          </cell>
          <cell r="K470">
            <v>0</v>
          </cell>
          <cell r="L470">
            <v>6.8654500000000001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6.8654500000000001</v>
          </cell>
        </row>
        <row r="471">
          <cell r="C471" t="str">
            <v>02A20</v>
          </cell>
          <cell r="D471" t="str">
            <v>EN/FN ULEV Emissions</v>
          </cell>
          <cell r="E471" t="str">
            <v>Emissions</v>
          </cell>
          <cell r="F471">
            <v>37104</v>
          </cell>
          <cell r="G471">
            <v>16.100000000000001</v>
          </cell>
          <cell r="H471">
            <v>8</v>
          </cell>
          <cell r="I471">
            <v>0.34</v>
          </cell>
          <cell r="J471">
            <v>2.72</v>
          </cell>
          <cell r="K471">
            <v>0.68713999999999997</v>
          </cell>
          <cell r="L471">
            <v>1.5578800000000002</v>
          </cell>
          <cell r="M471">
            <v>0.47498000000000001</v>
          </cell>
          <cell r="N471">
            <v>0</v>
          </cell>
          <cell r="O471">
            <v>0</v>
          </cell>
          <cell r="P471">
            <v>0</v>
          </cell>
          <cell r="Q471">
            <v>2.0328600000000003</v>
          </cell>
        </row>
        <row r="472">
          <cell r="C472" t="str">
            <v>02N01</v>
          </cell>
          <cell r="D472" t="str">
            <v>SN95 GT Emis-Strat. Add-LEV</v>
          </cell>
          <cell r="E472" t="str">
            <v>Emissions</v>
          </cell>
          <cell r="F472">
            <v>37196</v>
          </cell>
          <cell r="G472">
            <v>20.8</v>
          </cell>
          <cell r="H472">
            <v>0.184</v>
          </cell>
          <cell r="I472">
            <v>1</v>
          </cell>
          <cell r="J472">
            <v>0.184</v>
          </cell>
          <cell r="K472">
            <v>0</v>
          </cell>
          <cell r="L472">
            <v>0.13300000000000001</v>
          </cell>
          <cell r="M472">
            <v>5.0999999999999997E-2</v>
          </cell>
          <cell r="N472">
            <v>0</v>
          </cell>
          <cell r="O472">
            <v>0</v>
          </cell>
          <cell r="P472">
            <v>0</v>
          </cell>
          <cell r="Q472">
            <v>0.184</v>
          </cell>
        </row>
        <row r="473">
          <cell r="C473" t="str">
            <v>02P04</v>
          </cell>
          <cell r="D473" t="str">
            <v>Emissions Test Facils</v>
          </cell>
          <cell r="E473" t="str">
            <v>Emissions</v>
          </cell>
          <cell r="F473">
            <v>37135</v>
          </cell>
          <cell r="G473">
            <v>0.497</v>
          </cell>
          <cell r="H473">
            <v>0.497</v>
          </cell>
          <cell r="I473">
            <v>0.86499999999999999</v>
          </cell>
          <cell r="J473">
            <v>0.42990500000000009</v>
          </cell>
          <cell r="K473">
            <v>0.29669500000000004</v>
          </cell>
          <cell r="L473">
            <v>0.13321000000000002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0.13321000000000002</v>
          </cell>
        </row>
        <row r="474">
          <cell r="C474" t="str">
            <v>03N01</v>
          </cell>
          <cell r="D474" t="str">
            <v>Emissions Test Facilities</v>
          </cell>
          <cell r="E474" t="str">
            <v>Emissions</v>
          </cell>
          <cell r="F474">
            <v>37469</v>
          </cell>
          <cell r="G474">
            <v>27.3</v>
          </cell>
          <cell r="H474">
            <v>17.48</v>
          </cell>
          <cell r="I474">
            <v>0.88500000000000001</v>
          </cell>
          <cell r="J474">
            <v>15.469799999999999</v>
          </cell>
          <cell r="K474">
            <v>0</v>
          </cell>
          <cell r="L474">
            <v>6.0330450000000004</v>
          </cell>
          <cell r="M474">
            <v>7.8897750000000002</v>
          </cell>
          <cell r="N474">
            <v>1.5469799999999998</v>
          </cell>
          <cell r="O474">
            <v>0</v>
          </cell>
          <cell r="P474">
            <v>0</v>
          </cell>
          <cell r="Q474">
            <v>15.469799999999999</v>
          </cell>
        </row>
        <row r="475">
          <cell r="C475" t="str">
            <v>03N02</v>
          </cell>
          <cell r="D475" t="str">
            <v>PZEV -- NA C170, 2.3L I4</v>
          </cell>
          <cell r="E475" t="str">
            <v>Emissions</v>
          </cell>
          <cell r="F475">
            <v>37622</v>
          </cell>
          <cell r="G475">
            <v>94.02</v>
          </cell>
          <cell r="H475">
            <v>78.632000000000005</v>
          </cell>
          <cell r="I475">
            <v>1</v>
          </cell>
          <cell r="J475">
            <v>78.632000000000005</v>
          </cell>
          <cell r="K475">
            <v>0</v>
          </cell>
          <cell r="L475">
            <v>16.513999999999999</v>
          </cell>
          <cell r="M475">
            <v>33.81</v>
          </cell>
          <cell r="N475">
            <v>28.308</v>
          </cell>
          <cell r="O475">
            <v>0</v>
          </cell>
          <cell r="P475">
            <v>0</v>
          </cell>
          <cell r="Q475">
            <v>78.632000000000005</v>
          </cell>
        </row>
        <row r="476">
          <cell r="C476" t="str">
            <v>03N06</v>
          </cell>
          <cell r="D476" t="str">
            <v>PZEV -- U293</v>
          </cell>
          <cell r="E476" t="str">
            <v>Emissions</v>
          </cell>
          <cell r="F476">
            <v>38169</v>
          </cell>
          <cell r="G476">
            <v>56.03</v>
          </cell>
          <cell r="H476">
            <v>46.863999999999997</v>
          </cell>
          <cell r="I476">
            <v>1</v>
          </cell>
          <cell r="J476">
            <v>46.864000000000004</v>
          </cell>
          <cell r="K476">
            <v>0</v>
          </cell>
          <cell r="L476">
            <v>0</v>
          </cell>
          <cell r="M476">
            <v>1.0780000000000001</v>
          </cell>
          <cell r="N476">
            <v>18.745000000000001</v>
          </cell>
          <cell r="O476">
            <v>23.901</v>
          </cell>
          <cell r="P476">
            <v>3.14</v>
          </cell>
          <cell r="Q476">
            <v>46.864000000000004</v>
          </cell>
        </row>
        <row r="477">
          <cell r="C477" t="str">
            <v>03N07</v>
          </cell>
          <cell r="D477" t="str">
            <v>PZEV -- 2.0/2.3L I4</v>
          </cell>
          <cell r="E477" t="str">
            <v>Emissions</v>
          </cell>
          <cell r="F477">
            <v>37622</v>
          </cell>
          <cell r="G477">
            <v>48.62</v>
          </cell>
          <cell r="H477">
            <v>40.664000000000001</v>
          </cell>
          <cell r="I477">
            <v>1</v>
          </cell>
          <cell r="J477">
            <v>40.664000000000001</v>
          </cell>
          <cell r="K477">
            <v>0</v>
          </cell>
          <cell r="L477">
            <v>8.5389999999999997</v>
          </cell>
          <cell r="M477">
            <v>17.486000000000001</v>
          </cell>
          <cell r="N477">
            <v>14.638999999999999</v>
          </cell>
          <cell r="O477">
            <v>0</v>
          </cell>
          <cell r="P477">
            <v>0</v>
          </cell>
          <cell r="Q477">
            <v>40.664000000000001</v>
          </cell>
        </row>
        <row r="478">
          <cell r="C478" t="str">
            <v>03N70</v>
          </cell>
          <cell r="D478" t="str">
            <v>03MY Emissions Reqt's</v>
          </cell>
          <cell r="E478" t="str">
            <v>Emissions</v>
          </cell>
          <cell r="F478">
            <v>37469</v>
          </cell>
          <cell r="G478">
            <v>131.6</v>
          </cell>
          <cell r="H478">
            <v>64.400000000000006</v>
          </cell>
          <cell r="I478">
            <v>0.67099999999999982</v>
          </cell>
          <cell r="J478">
            <v>43.212399999999995</v>
          </cell>
          <cell r="K478">
            <v>0</v>
          </cell>
          <cell r="L478">
            <v>16.853507</v>
          </cell>
          <cell r="M478">
            <v>22.038324000000003</v>
          </cell>
          <cell r="N478">
            <v>4.3205689999999999</v>
          </cell>
          <cell r="O478">
            <v>0</v>
          </cell>
          <cell r="P478">
            <v>0</v>
          </cell>
          <cell r="Q478">
            <v>43.212399999999995</v>
          </cell>
        </row>
        <row r="479">
          <cell r="C479" t="str">
            <v>04N03</v>
          </cell>
          <cell r="D479" t="str">
            <v>PZEV -- NA Focus, 2.0L I4</v>
          </cell>
          <cell r="E479" t="str">
            <v>Emissions</v>
          </cell>
          <cell r="F479">
            <v>37987</v>
          </cell>
          <cell r="G479">
            <v>14.51</v>
          </cell>
          <cell r="H479">
            <v>12.134</v>
          </cell>
          <cell r="I479">
            <v>1</v>
          </cell>
          <cell r="J479">
            <v>12.134</v>
          </cell>
          <cell r="K479">
            <v>0</v>
          </cell>
          <cell r="L479">
            <v>0</v>
          </cell>
          <cell r="M479">
            <v>2.548</v>
          </cell>
          <cell r="N479">
            <v>5.2169999999999996</v>
          </cell>
          <cell r="O479">
            <v>4.3689999999999998</v>
          </cell>
          <cell r="P479">
            <v>0</v>
          </cell>
          <cell r="Q479">
            <v>12.134</v>
          </cell>
        </row>
        <row r="480">
          <cell r="C480" t="str">
            <v>04N06</v>
          </cell>
          <cell r="D480" t="str">
            <v>S195 Emissions Program</v>
          </cell>
          <cell r="E480" t="str">
            <v>Emissions</v>
          </cell>
          <cell r="F480">
            <v>37834</v>
          </cell>
          <cell r="G480">
            <v>15</v>
          </cell>
          <cell r="H480">
            <v>11.04</v>
          </cell>
          <cell r="I480">
            <v>1</v>
          </cell>
          <cell r="J480">
            <v>11.04</v>
          </cell>
          <cell r="K480">
            <v>0</v>
          </cell>
          <cell r="L480">
            <v>0</v>
          </cell>
          <cell r="M480">
            <v>4.306</v>
          </cell>
          <cell r="N480">
            <v>5.6310000000000002</v>
          </cell>
          <cell r="O480">
            <v>1.103</v>
          </cell>
          <cell r="P480">
            <v>0</v>
          </cell>
          <cell r="Q480">
            <v>11.04</v>
          </cell>
        </row>
        <row r="481">
          <cell r="C481" t="str">
            <v>04N70</v>
          </cell>
          <cell r="D481" t="str">
            <v>04MY Emissions Reqt's</v>
          </cell>
          <cell r="E481" t="str">
            <v>Emissions</v>
          </cell>
          <cell r="F481">
            <v>37834</v>
          </cell>
          <cell r="G481">
            <v>459.7</v>
          </cell>
          <cell r="H481">
            <v>224.94</v>
          </cell>
          <cell r="I481">
            <v>0.95099999999999985</v>
          </cell>
          <cell r="J481">
            <v>213.91793999999996</v>
          </cell>
          <cell r="K481">
            <v>0</v>
          </cell>
          <cell r="L481">
            <v>0</v>
          </cell>
          <cell r="M481">
            <v>83.428377000000012</v>
          </cell>
          <cell r="N481">
            <v>109.09872</v>
          </cell>
          <cell r="O481">
            <v>21.390843000000004</v>
          </cell>
          <cell r="P481">
            <v>0</v>
          </cell>
          <cell r="Q481">
            <v>213.91793999999996</v>
          </cell>
        </row>
        <row r="482">
          <cell r="C482" t="str">
            <v>04W01</v>
          </cell>
          <cell r="D482" t="str">
            <v>E-Series Emissions Program</v>
          </cell>
          <cell r="E482" t="str">
            <v>Emissions</v>
          </cell>
          <cell r="F482">
            <v>37834</v>
          </cell>
          <cell r="G482">
            <v>69.180000000000007</v>
          </cell>
          <cell r="H482">
            <v>15.275</v>
          </cell>
          <cell r="I482">
            <v>1</v>
          </cell>
          <cell r="J482">
            <v>15.275</v>
          </cell>
          <cell r="K482">
            <v>0</v>
          </cell>
          <cell r="L482">
            <v>0.02</v>
          </cell>
          <cell r="M482">
            <v>5.7539999999999996</v>
          </cell>
          <cell r="N482">
            <v>7.7960000000000003</v>
          </cell>
          <cell r="O482">
            <v>1.7050000000000001</v>
          </cell>
          <cell r="P482">
            <v>0</v>
          </cell>
          <cell r="Q482">
            <v>15.275</v>
          </cell>
        </row>
        <row r="483">
          <cell r="C483" t="str">
            <v>05N70</v>
          </cell>
          <cell r="D483" t="str">
            <v>05MY Emissions Reqt's</v>
          </cell>
          <cell r="E483" t="str">
            <v>Emissions</v>
          </cell>
          <cell r="F483">
            <v>38200</v>
          </cell>
          <cell r="G483">
            <v>499.1</v>
          </cell>
          <cell r="H483">
            <v>232.94399999999999</v>
          </cell>
          <cell r="I483">
            <v>0.72100000000000009</v>
          </cell>
          <cell r="J483">
            <v>167.95262400000001</v>
          </cell>
          <cell r="K483">
            <v>0</v>
          </cell>
          <cell r="L483">
            <v>0</v>
          </cell>
          <cell r="M483">
            <v>0</v>
          </cell>
          <cell r="N483">
            <v>65.501407999999998</v>
          </cell>
          <cell r="O483">
            <v>85.656242000000006</v>
          </cell>
          <cell r="P483">
            <v>16.794974</v>
          </cell>
          <cell r="Q483">
            <v>167.95262400000001</v>
          </cell>
        </row>
        <row r="484">
          <cell r="C484" t="str">
            <v>06N70</v>
          </cell>
          <cell r="D484" t="str">
            <v>06MY Emissions Reqt's</v>
          </cell>
          <cell r="E484" t="str">
            <v>Emissions</v>
          </cell>
          <cell r="F484">
            <v>38565</v>
          </cell>
          <cell r="G484">
            <v>910</v>
          </cell>
          <cell r="H484">
            <v>78.2</v>
          </cell>
          <cell r="I484">
            <v>1</v>
          </cell>
          <cell r="J484">
            <v>78.2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30.498999999999999</v>
          </cell>
          <cell r="P484">
            <v>39.881999999999998</v>
          </cell>
          <cell r="Q484">
            <v>70.381</v>
          </cell>
        </row>
        <row r="485">
          <cell r="C485" t="str">
            <v>07N70</v>
          </cell>
          <cell r="D485" t="str">
            <v>07MY Emissions Reqt's</v>
          </cell>
          <cell r="E485" t="str">
            <v>Emissions</v>
          </cell>
          <cell r="F485">
            <v>38930</v>
          </cell>
          <cell r="G485">
            <v>114.3</v>
          </cell>
          <cell r="H485">
            <v>55.936</v>
          </cell>
          <cell r="I485">
            <v>0.746</v>
          </cell>
          <cell r="J485">
            <v>41.728256000000002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16.274736000000001</v>
          </cell>
          <cell r="Q485">
            <v>16.274736000000001</v>
          </cell>
        </row>
        <row r="486">
          <cell r="C486" t="str">
            <v>08N70</v>
          </cell>
          <cell r="D486" t="str">
            <v>08MY Emissions Reqt's</v>
          </cell>
          <cell r="E486" t="str">
            <v>Emissions</v>
          </cell>
          <cell r="F486">
            <v>39295</v>
          </cell>
          <cell r="G486">
            <v>266.95999999999998</v>
          </cell>
          <cell r="H486">
            <v>130.63999999999999</v>
          </cell>
          <cell r="I486">
            <v>0.90300000000000002</v>
          </cell>
          <cell r="J486">
            <v>117.96791999999999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>
            <v>0</v>
          </cell>
        </row>
        <row r="487">
          <cell r="C487" t="str">
            <v>98D01</v>
          </cell>
          <cell r="D487" t="str">
            <v>UX168  - Ranger EV</v>
          </cell>
          <cell r="E487" t="str">
            <v>Environmental Vehicles</v>
          </cell>
          <cell r="F487">
            <v>35646</v>
          </cell>
          <cell r="G487">
            <v>117.916</v>
          </cell>
          <cell r="H487">
            <v>21.064</v>
          </cell>
          <cell r="I487">
            <v>1</v>
          </cell>
          <cell r="J487">
            <v>21.064</v>
          </cell>
          <cell r="K487">
            <v>0.127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</row>
        <row r="488">
          <cell r="C488" t="str">
            <v>99915</v>
          </cell>
          <cell r="D488" t="str">
            <v>EnVC PVT</v>
          </cell>
          <cell r="E488" t="str">
            <v>Environmental Vehicles</v>
          </cell>
          <cell r="F488">
            <v>36342</v>
          </cell>
          <cell r="G488">
            <v>0.59499999999999997</v>
          </cell>
          <cell r="H488">
            <v>0.53800000000000003</v>
          </cell>
          <cell r="I488">
            <v>1</v>
          </cell>
          <cell r="J488">
            <v>0.53800000000000003</v>
          </cell>
          <cell r="K488">
            <v>0.44500000000000001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</row>
        <row r="489">
          <cell r="C489" t="str">
            <v>00915</v>
          </cell>
          <cell r="D489" t="str">
            <v>EnVC PVT</v>
          </cell>
          <cell r="E489" t="str">
            <v>Environmental Vehicles</v>
          </cell>
          <cell r="F489">
            <v>36708</v>
          </cell>
          <cell r="G489">
            <v>0.127</v>
          </cell>
          <cell r="H489">
            <v>6.4000000000000001E-2</v>
          </cell>
          <cell r="I489">
            <v>1</v>
          </cell>
          <cell r="J489">
            <v>6.4000000000000001E-2</v>
          </cell>
          <cell r="K489">
            <v>6.4000000000000001E-2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</row>
        <row r="490">
          <cell r="C490" t="str">
            <v>00D04</v>
          </cell>
          <cell r="D490" t="str">
            <v>BEV -- US Postal</v>
          </cell>
          <cell r="E490" t="str">
            <v>Environmental Vehicles</v>
          </cell>
          <cell r="F490">
            <v>36831</v>
          </cell>
          <cell r="G490">
            <v>10.066000000000001</v>
          </cell>
          <cell r="H490">
            <v>3.6819999999999999</v>
          </cell>
          <cell r="I490">
            <v>1</v>
          </cell>
          <cell r="J490">
            <v>3.6819999999999999</v>
          </cell>
          <cell r="K490">
            <v>2.218</v>
          </cell>
          <cell r="L490">
            <v>1.464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1.464</v>
          </cell>
        </row>
        <row r="491">
          <cell r="C491" t="str">
            <v>01915</v>
          </cell>
          <cell r="D491" t="str">
            <v>EnVC PVT</v>
          </cell>
          <cell r="E491" t="str">
            <v>Environmental Vehicles</v>
          </cell>
          <cell r="F491">
            <v>37073</v>
          </cell>
          <cell r="G491">
            <v>3</v>
          </cell>
          <cell r="H491">
            <v>3</v>
          </cell>
          <cell r="I491">
            <v>1</v>
          </cell>
          <cell r="J491">
            <v>3</v>
          </cell>
          <cell r="K491">
            <v>0.22800000000000001</v>
          </cell>
          <cell r="L491">
            <v>1.7430000000000001</v>
          </cell>
          <cell r="M491">
            <v>1.0289999999999999</v>
          </cell>
          <cell r="N491">
            <v>0</v>
          </cell>
          <cell r="O491">
            <v>0</v>
          </cell>
          <cell r="P491">
            <v>0</v>
          </cell>
          <cell r="Q491">
            <v>2.7720000000000002</v>
          </cell>
        </row>
        <row r="492">
          <cell r="C492" t="str">
            <v>02915</v>
          </cell>
          <cell r="D492" t="str">
            <v>EnVC PVT</v>
          </cell>
          <cell r="E492" t="str">
            <v>Environmental Vehicles</v>
          </cell>
          <cell r="F492">
            <v>37438</v>
          </cell>
          <cell r="G492">
            <v>3</v>
          </cell>
          <cell r="H492">
            <v>3</v>
          </cell>
          <cell r="I492">
            <v>1</v>
          </cell>
          <cell r="J492">
            <v>3</v>
          </cell>
          <cell r="K492">
            <v>0</v>
          </cell>
          <cell r="L492">
            <v>0.17399999999999999</v>
          </cell>
          <cell r="M492">
            <v>1.776</v>
          </cell>
          <cell r="N492">
            <v>1.05</v>
          </cell>
          <cell r="O492">
            <v>0</v>
          </cell>
          <cell r="P492">
            <v>0</v>
          </cell>
          <cell r="Q492">
            <v>3</v>
          </cell>
        </row>
        <row r="493">
          <cell r="C493" t="str">
            <v>04D08</v>
          </cell>
          <cell r="D493" t="str">
            <v>C264 FCEV</v>
          </cell>
          <cell r="E493" t="str">
            <v>Environmental Vehicles</v>
          </cell>
          <cell r="F493">
            <v>37773</v>
          </cell>
          <cell r="G493">
            <v>160</v>
          </cell>
          <cell r="H493">
            <v>57</v>
          </cell>
          <cell r="I493">
            <v>1</v>
          </cell>
          <cell r="J493">
            <v>57</v>
          </cell>
          <cell r="K493">
            <v>0</v>
          </cell>
          <cell r="L493">
            <v>9.5</v>
          </cell>
          <cell r="M493">
            <v>11.9</v>
          </cell>
          <cell r="N493">
            <v>30.8</v>
          </cell>
          <cell r="O493">
            <v>4.8</v>
          </cell>
          <cell r="P493">
            <v>0</v>
          </cell>
          <cell r="Q493">
            <v>57</v>
          </cell>
        </row>
        <row r="494">
          <cell r="C494" t="str">
            <v>07D08</v>
          </cell>
          <cell r="D494" t="str">
            <v>C264 TBD Fuel</v>
          </cell>
          <cell r="E494" t="str">
            <v>Environmental Vehicles</v>
          </cell>
          <cell r="F494">
            <v>38930</v>
          </cell>
          <cell r="G494">
            <v>154</v>
          </cell>
          <cell r="H494">
            <v>67.400000000000006</v>
          </cell>
          <cell r="I494">
            <v>1</v>
          </cell>
          <cell r="J494">
            <v>67.400000000000006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9.2110000000000003</v>
          </cell>
          <cell r="Q494">
            <v>9.2110000000000003</v>
          </cell>
        </row>
        <row r="495">
          <cell r="C495" t="str">
            <v>08D05</v>
          </cell>
          <cell r="D495" t="str">
            <v>C264 FCEV Minor Fresh</v>
          </cell>
          <cell r="E495" t="str">
            <v>Environmental Vehicles</v>
          </cell>
          <cell r="F495">
            <v>39295</v>
          </cell>
          <cell r="G495">
            <v>70</v>
          </cell>
          <cell r="H495">
            <v>4.7</v>
          </cell>
          <cell r="I495">
            <v>1</v>
          </cell>
          <cell r="J495">
            <v>4.7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  <cell r="Q495">
            <v>0</v>
          </cell>
        </row>
        <row r="496">
          <cell r="C496" t="str">
            <v>99P86</v>
          </cell>
          <cell r="D496" t="str">
            <v>FN Transmission - Van Dyke</v>
          </cell>
          <cell r="E496" t="str">
            <v>FN Transmission</v>
          </cell>
          <cell r="F496">
            <v>36375</v>
          </cell>
          <cell r="G496">
            <v>404.387</v>
          </cell>
          <cell r="H496">
            <v>290.46300000000002</v>
          </cell>
          <cell r="I496">
            <v>0.86399999999999999</v>
          </cell>
          <cell r="J496">
            <v>250.96003200000001</v>
          </cell>
          <cell r="K496">
            <v>24.972192</v>
          </cell>
          <cell r="L496">
            <v>1.3642559999999999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Q496">
            <v>1.3642559999999999</v>
          </cell>
        </row>
        <row r="497">
          <cell r="C497" t="str">
            <v>03P17</v>
          </cell>
          <cell r="D497" t="str">
            <v>FN Trq Upgrd &amp; Trans for I4</v>
          </cell>
          <cell r="E497" t="str">
            <v>FN Transmission</v>
          </cell>
          <cell r="F497">
            <v>37622</v>
          </cell>
          <cell r="G497">
            <v>25</v>
          </cell>
          <cell r="H497">
            <v>15</v>
          </cell>
          <cell r="I497">
            <v>1</v>
          </cell>
          <cell r="J497">
            <v>15</v>
          </cell>
          <cell r="K497">
            <v>0</v>
          </cell>
          <cell r="L497">
            <v>0.88200000000000001</v>
          </cell>
          <cell r="M497">
            <v>7.859</v>
          </cell>
          <cell r="N497">
            <v>5.4050000000000002</v>
          </cell>
          <cell r="O497">
            <v>0.85399999999999998</v>
          </cell>
          <cell r="P497">
            <v>0</v>
          </cell>
          <cell r="Q497">
            <v>15</v>
          </cell>
        </row>
        <row r="498">
          <cell r="C498" t="str">
            <v>98P86</v>
          </cell>
          <cell r="D498" t="str">
            <v>E4OD GROB Clutch (CAFÉ)</v>
          </cell>
          <cell r="E498" t="str">
            <v>Fuel Economy</v>
          </cell>
          <cell r="F498">
            <v>35646</v>
          </cell>
          <cell r="G498">
            <v>4.5439999999999996</v>
          </cell>
          <cell r="H498">
            <v>4.343</v>
          </cell>
          <cell r="I498">
            <v>0.95100000000000007</v>
          </cell>
          <cell r="J498">
            <v>4.1301930000000002</v>
          </cell>
          <cell r="K498">
            <v>2.8530000000000001E-3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</row>
        <row r="499">
          <cell r="C499" t="str">
            <v>01W05</v>
          </cell>
          <cell r="D499" t="str">
            <v>Econline CAFÉ Actions</v>
          </cell>
          <cell r="E499" t="str">
            <v>Fuel Economy</v>
          </cell>
          <cell r="F499">
            <v>36892</v>
          </cell>
          <cell r="G499">
            <v>0.49</v>
          </cell>
          <cell r="H499">
            <v>0.49</v>
          </cell>
          <cell r="I499">
            <v>1</v>
          </cell>
          <cell r="J499">
            <v>0.49</v>
          </cell>
          <cell r="K499">
            <v>0</v>
          </cell>
          <cell r="L499">
            <v>0.49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0.49</v>
          </cell>
        </row>
        <row r="500">
          <cell r="C500" t="str">
            <v>02512</v>
          </cell>
          <cell r="D500" t="str">
            <v>U/P207 ORVR</v>
          </cell>
          <cell r="E500" t="str">
            <v>Fuel Economy</v>
          </cell>
          <cell r="F500">
            <v>37165</v>
          </cell>
          <cell r="G500">
            <v>27.699000000000002</v>
          </cell>
          <cell r="H500">
            <v>19.5</v>
          </cell>
          <cell r="I500">
            <v>1</v>
          </cell>
          <cell r="J500">
            <v>19.5</v>
          </cell>
          <cell r="K500">
            <v>0</v>
          </cell>
          <cell r="L500">
            <v>17.684000000000001</v>
          </cell>
          <cell r="M500">
            <v>1.8160000000000001</v>
          </cell>
          <cell r="N500">
            <v>0</v>
          </cell>
          <cell r="O500">
            <v>0</v>
          </cell>
          <cell r="P500">
            <v>0</v>
          </cell>
          <cell r="Q500">
            <v>19.5</v>
          </cell>
        </row>
        <row r="501">
          <cell r="C501" t="str">
            <v>02A80</v>
          </cell>
          <cell r="D501" t="str">
            <v>EN/FN Café Actions</v>
          </cell>
          <cell r="E501" t="str">
            <v>Fuel Economy</v>
          </cell>
          <cell r="F501">
            <v>37288</v>
          </cell>
          <cell r="G501">
            <v>9.9</v>
          </cell>
          <cell r="H501">
            <v>9.9</v>
          </cell>
          <cell r="I501">
            <v>0.34</v>
          </cell>
          <cell r="J501">
            <v>3.3660000000000005</v>
          </cell>
          <cell r="K501">
            <v>0</v>
          </cell>
          <cell r="L501">
            <v>1.5483600000000002</v>
          </cell>
          <cell r="M501">
            <v>1.8176400000000001</v>
          </cell>
          <cell r="N501">
            <v>0</v>
          </cell>
          <cell r="O501">
            <v>0</v>
          </cell>
          <cell r="P501">
            <v>0</v>
          </cell>
          <cell r="Q501">
            <v>3.3660000000000005</v>
          </cell>
        </row>
        <row r="502">
          <cell r="C502" t="str">
            <v>02H10</v>
          </cell>
          <cell r="D502" t="str">
            <v>D186 CAFÉ Actions</v>
          </cell>
          <cell r="E502" t="str">
            <v>Fuel Economy</v>
          </cell>
          <cell r="F502">
            <v>37104</v>
          </cell>
          <cell r="G502">
            <v>4.1420000000000003</v>
          </cell>
          <cell r="H502">
            <v>4.1420000000000003</v>
          </cell>
          <cell r="I502">
            <v>0.8</v>
          </cell>
          <cell r="J502">
            <v>3.3136000000000001</v>
          </cell>
          <cell r="K502">
            <v>0</v>
          </cell>
          <cell r="L502">
            <v>3.3136000000000001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3.3136000000000001</v>
          </cell>
        </row>
        <row r="503">
          <cell r="C503" t="str">
            <v>02O68</v>
          </cell>
          <cell r="D503" t="str">
            <v>CAFE/CO2 Central Provision</v>
          </cell>
          <cell r="E503" t="str">
            <v>Fuel Economy</v>
          </cell>
          <cell r="F503">
            <v>37104</v>
          </cell>
          <cell r="G503">
            <v>4.2</v>
          </cell>
          <cell r="H503">
            <v>4.2</v>
          </cell>
          <cell r="I503">
            <v>0.85099999999999987</v>
          </cell>
          <cell r="J503">
            <v>3.5741999999999994</v>
          </cell>
          <cell r="K503">
            <v>0</v>
          </cell>
          <cell r="L503">
            <v>3.5741999999999994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3.5741999999999994</v>
          </cell>
        </row>
        <row r="504">
          <cell r="C504" t="str">
            <v>03O68</v>
          </cell>
          <cell r="D504" t="str">
            <v>CAFE/CO2 Central Provision</v>
          </cell>
          <cell r="E504" t="str">
            <v>Fuel Economy</v>
          </cell>
          <cell r="F504">
            <v>37469</v>
          </cell>
          <cell r="G504">
            <v>42.6</v>
          </cell>
          <cell r="H504">
            <v>42.6</v>
          </cell>
          <cell r="I504">
            <v>0.85</v>
          </cell>
          <cell r="J504">
            <v>36.21</v>
          </cell>
          <cell r="K504">
            <v>0</v>
          </cell>
          <cell r="L504">
            <v>0</v>
          </cell>
          <cell r="M504">
            <v>36.21</v>
          </cell>
          <cell r="N504">
            <v>0</v>
          </cell>
          <cell r="O504">
            <v>0</v>
          </cell>
          <cell r="P504">
            <v>0</v>
          </cell>
          <cell r="Q504">
            <v>36.21</v>
          </cell>
        </row>
        <row r="505">
          <cell r="C505" t="str">
            <v>04O68</v>
          </cell>
          <cell r="D505" t="str">
            <v>CAFE/CO2 Central Provision</v>
          </cell>
          <cell r="E505" t="str">
            <v>Fuel Economy</v>
          </cell>
          <cell r="F505">
            <v>37834</v>
          </cell>
          <cell r="G505">
            <v>63.8</v>
          </cell>
          <cell r="H505">
            <v>63.8</v>
          </cell>
          <cell r="I505">
            <v>0.88200000000000001</v>
          </cell>
          <cell r="J505">
            <v>56.271599999999999</v>
          </cell>
          <cell r="K505">
            <v>0</v>
          </cell>
          <cell r="L505">
            <v>0</v>
          </cell>
          <cell r="M505">
            <v>0</v>
          </cell>
          <cell r="N505">
            <v>56.271599999999999</v>
          </cell>
          <cell r="O505">
            <v>0</v>
          </cell>
          <cell r="P505">
            <v>0</v>
          </cell>
          <cell r="Q505">
            <v>56.271599999999999</v>
          </cell>
        </row>
        <row r="506">
          <cell r="C506" t="str">
            <v>05O68</v>
          </cell>
          <cell r="D506" t="str">
            <v>CAFE/CO2 Central Provision</v>
          </cell>
          <cell r="E506" t="str">
            <v>Fuel Economy</v>
          </cell>
          <cell r="F506">
            <v>38200</v>
          </cell>
          <cell r="G506">
            <v>21.4</v>
          </cell>
          <cell r="H506">
            <v>21.4</v>
          </cell>
          <cell r="I506">
            <v>0.88200000000000012</v>
          </cell>
          <cell r="J506">
            <v>18.8748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18.8748</v>
          </cell>
          <cell r="P506">
            <v>0</v>
          </cell>
          <cell r="Q506">
            <v>18.8748</v>
          </cell>
        </row>
        <row r="507">
          <cell r="C507" t="str">
            <v>00P11</v>
          </cell>
          <cell r="D507" t="str">
            <v>I4 4v DOHC- NA Plant 1-CUEP</v>
          </cell>
          <cell r="E507" t="str">
            <v>I4/I5 Engine</v>
          </cell>
          <cell r="F507">
            <v>36829</v>
          </cell>
          <cell r="G507">
            <v>466.858</v>
          </cell>
          <cell r="H507">
            <v>400.57799999999997</v>
          </cell>
          <cell r="I507">
            <v>0.92698692888775713</v>
          </cell>
          <cell r="J507">
            <v>371.33056999999997</v>
          </cell>
          <cell r="K507">
            <v>132.04776800000002</v>
          </cell>
          <cell r="L507">
            <v>40.683248999999996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40.683248999999996</v>
          </cell>
        </row>
        <row r="508">
          <cell r="C508" t="str">
            <v>00P13</v>
          </cell>
          <cell r="D508" t="str">
            <v>I4/I5 Casting Prov-Cle Alum</v>
          </cell>
          <cell r="E508" t="str">
            <v>I4/I5 Engine</v>
          </cell>
          <cell r="F508">
            <v>36617</v>
          </cell>
          <cell r="G508">
            <v>189.11</v>
          </cell>
          <cell r="H508">
            <v>151.251</v>
          </cell>
          <cell r="I508">
            <v>1</v>
          </cell>
          <cell r="J508">
            <v>151.251</v>
          </cell>
          <cell r="K508">
            <v>26.838999999999999</v>
          </cell>
          <cell r="L508">
            <v>8.2319999999999993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8.2319999999999993</v>
          </cell>
        </row>
        <row r="509">
          <cell r="C509" t="str">
            <v>01P08</v>
          </cell>
          <cell r="D509" t="str">
            <v>I4/I5 2ND N/A PLANT-DEP</v>
          </cell>
          <cell r="E509" t="str">
            <v>I4/I5 Engine</v>
          </cell>
          <cell r="F509">
            <v>36899</v>
          </cell>
          <cell r="G509">
            <v>462.88400000000001</v>
          </cell>
          <cell r="H509">
            <v>368.39699999999999</v>
          </cell>
          <cell r="I509">
            <v>1</v>
          </cell>
          <cell r="J509">
            <v>368.39699999999999</v>
          </cell>
          <cell r="K509">
            <v>157.58600000000001</v>
          </cell>
          <cell r="L509">
            <v>59.865000000000002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59.865000000000002</v>
          </cell>
        </row>
        <row r="510">
          <cell r="C510" t="str">
            <v>01P16</v>
          </cell>
          <cell r="D510" t="str">
            <v>5R44E Trans for I4/I5</v>
          </cell>
          <cell r="E510" t="str">
            <v>I4/I5 Engine</v>
          </cell>
          <cell r="F510">
            <v>36800</v>
          </cell>
          <cell r="G510">
            <v>6.3220000000000001</v>
          </cell>
          <cell r="H510">
            <v>1.2849999999999999</v>
          </cell>
          <cell r="I510">
            <v>1</v>
          </cell>
          <cell r="J510">
            <v>1.2849999999999999</v>
          </cell>
          <cell r="K510">
            <v>0.91199999999999992</v>
          </cell>
          <cell r="L510">
            <v>0.30600000000000005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0.30600000000000005</v>
          </cell>
        </row>
        <row r="511">
          <cell r="C511" t="str">
            <v>01P21</v>
          </cell>
          <cell r="D511" t="str">
            <v>New I4 Eng/Man Trans Interf</v>
          </cell>
          <cell r="E511" t="str">
            <v>I4/I5 Engine</v>
          </cell>
          <cell r="F511">
            <v>36951</v>
          </cell>
          <cell r="G511">
            <v>3.82</v>
          </cell>
          <cell r="H511">
            <v>3.82</v>
          </cell>
          <cell r="I511">
            <v>0.16</v>
          </cell>
          <cell r="J511">
            <v>0.61119999999999997</v>
          </cell>
          <cell r="K511">
            <v>0</v>
          </cell>
          <cell r="L511">
            <v>0</v>
          </cell>
          <cell r="M511">
            <v>0.33344000000000001</v>
          </cell>
          <cell r="N511">
            <v>0.27776000000000001</v>
          </cell>
          <cell r="O511">
            <v>0</v>
          </cell>
          <cell r="P511">
            <v>0</v>
          </cell>
          <cell r="Q511">
            <v>0.61119999999999997</v>
          </cell>
        </row>
        <row r="512">
          <cell r="C512" t="str">
            <v>02P46</v>
          </cell>
          <cell r="D512" t="str">
            <v>2.3L I4 E-W Upg VVT BS VIS</v>
          </cell>
          <cell r="E512" t="str">
            <v>I4/I5 Engine</v>
          </cell>
          <cell r="F512">
            <v>37408</v>
          </cell>
          <cell r="G512">
            <v>77</v>
          </cell>
          <cell r="H512">
            <v>61</v>
          </cell>
          <cell r="I512">
            <v>1</v>
          </cell>
          <cell r="J512">
            <v>61</v>
          </cell>
          <cell r="K512">
            <v>0</v>
          </cell>
          <cell r="L512">
            <v>13.185</v>
          </cell>
          <cell r="M512">
            <v>40.721000000000004</v>
          </cell>
          <cell r="N512">
            <v>7.0940000000000012</v>
          </cell>
          <cell r="O512">
            <v>0</v>
          </cell>
          <cell r="P512">
            <v>0</v>
          </cell>
          <cell r="Q512">
            <v>61</v>
          </cell>
        </row>
        <row r="513">
          <cell r="C513" t="str">
            <v>02S31</v>
          </cell>
          <cell r="D513" t="str">
            <v>I4/I5 1ST EU 700K/Sigma700K</v>
          </cell>
          <cell r="E513" t="str">
            <v>I4/I5 Engine</v>
          </cell>
          <cell r="F513">
            <v>37591</v>
          </cell>
          <cell r="G513">
            <v>454.96</v>
          </cell>
          <cell r="H513">
            <v>332.54899999999998</v>
          </cell>
          <cell r="I513">
            <v>0.11</v>
          </cell>
          <cell r="J513">
            <v>36.580390000000001</v>
          </cell>
          <cell r="K513">
            <v>0.21307000000000004</v>
          </cell>
          <cell r="L513">
            <v>11.338470000000001</v>
          </cell>
          <cell r="M513">
            <v>19.03275</v>
          </cell>
          <cell r="N513">
            <v>2.2171600000000002</v>
          </cell>
          <cell r="O513">
            <v>2.3084600000000002</v>
          </cell>
          <cell r="P513">
            <v>1.47048</v>
          </cell>
          <cell r="Q513">
            <v>36.367319999999999</v>
          </cell>
        </row>
        <row r="514">
          <cell r="C514" t="str">
            <v>04S41</v>
          </cell>
          <cell r="D514" t="str">
            <v>1.6L Zetec SE DI VVT</v>
          </cell>
          <cell r="E514" t="str">
            <v>I4/I5 Engine</v>
          </cell>
          <cell r="F514">
            <v>38565</v>
          </cell>
          <cell r="G514">
            <v>92</v>
          </cell>
          <cell r="H514">
            <v>45.08</v>
          </cell>
          <cell r="I514">
            <v>0.121</v>
          </cell>
          <cell r="J514">
            <v>5.4546799999999998</v>
          </cell>
          <cell r="K514">
            <v>0</v>
          </cell>
          <cell r="L514">
            <v>0</v>
          </cell>
          <cell r="M514">
            <v>0</v>
          </cell>
          <cell r="N514">
            <v>0.16347100000000001</v>
          </cell>
          <cell r="O514">
            <v>0.92722300000000013</v>
          </cell>
          <cell r="P514">
            <v>3.3819500000000007</v>
          </cell>
          <cell r="Q514">
            <v>4.4726440000000007</v>
          </cell>
        </row>
        <row r="515">
          <cell r="C515" t="str">
            <v>06S32</v>
          </cell>
          <cell r="D515" t="str">
            <v>2.7 V6 Lion Upgrade</v>
          </cell>
          <cell r="E515" t="str">
            <v>Lion Diesel</v>
          </cell>
          <cell r="F515">
            <v>38596</v>
          </cell>
          <cell r="G515">
            <v>75</v>
          </cell>
          <cell r="H515">
            <v>48.761000000000003</v>
          </cell>
          <cell r="I515">
            <v>0.27</v>
          </cell>
          <cell r="J515">
            <v>13.165469999999999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2.0536199999999996</v>
          </cell>
          <cell r="P515">
            <v>8.7941699999999994</v>
          </cell>
          <cell r="Q515">
            <v>10.84779</v>
          </cell>
        </row>
        <row r="516">
          <cell r="C516" t="str">
            <v>05P04</v>
          </cell>
          <cell r="D516" t="str">
            <v>New V6 -- Line 1 (LEP)</v>
          </cell>
          <cell r="E516" t="str">
            <v>New V6</v>
          </cell>
          <cell r="F516">
            <v>38200</v>
          </cell>
          <cell r="G516">
            <v>643.18399999999997</v>
          </cell>
          <cell r="H516">
            <v>501.18400000000003</v>
          </cell>
          <cell r="I516">
            <v>0.83199999999999996</v>
          </cell>
          <cell r="J516">
            <v>416.98508800000002</v>
          </cell>
          <cell r="K516">
            <v>0</v>
          </cell>
          <cell r="L516">
            <v>0</v>
          </cell>
          <cell r="M516">
            <v>0.65062400000000009</v>
          </cell>
          <cell r="N516">
            <v>162.682624</v>
          </cell>
          <cell r="O516">
            <v>207.53241600000001</v>
          </cell>
          <cell r="P516">
            <v>46.119424000000009</v>
          </cell>
          <cell r="Q516">
            <v>416.98508800000002</v>
          </cell>
        </row>
        <row r="517">
          <cell r="C517" t="str">
            <v>05P05</v>
          </cell>
          <cell r="D517" t="str">
            <v>New V6 -- Line 2 (LEP)</v>
          </cell>
          <cell r="E517" t="str">
            <v>New V6</v>
          </cell>
          <cell r="F517">
            <v>38384</v>
          </cell>
          <cell r="G517">
            <v>365.29500000000002</v>
          </cell>
          <cell r="H517">
            <v>260.29500000000002</v>
          </cell>
          <cell r="I517">
            <v>0.83199999999999996</v>
          </cell>
          <cell r="J517">
            <v>216.56544</v>
          </cell>
          <cell r="K517">
            <v>0</v>
          </cell>
          <cell r="L517">
            <v>0</v>
          </cell>
          <cell r="M517">
            <v>0</v>
          </cell>
          <cell r="N517">
            <v>33.860736000000003</v>
          </cell>
          <cell r="O517">
            <v>122.95878399999999</v>
          </cell>
          <cell r="P517">
            <v>52.174720000000001</v>
          </cell>
          <cell r="Q517">
            <v>208.99423999999999</v>
          </cell>
        </row>
        <row r="518">
          <cell r="C518" t="str">
            <v>07P07</v>
          </cell>
          <cell r="D518" t="str">
            <v>New V6 -- Line 3 (CEP)</v>
          </cell>
          <cell r="E518" t="str">
            <v>New V6</v>
          </cell>
          <cell r="F518">
            <v>39083</v>
          </cell>
          <cell r="G518">
            <v>527.79999999999995</v>
          </cell>
          <cell r="H518">
            <v>425.8</v>
          </cell>
          <cell r="I518">
            <v>1</v>
          </cell>
          <cell r="J518">
            <v>425.8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75.945999999999998</v>
          </cell>
          <cell r="Q518">
            <v>75.945999999999998</v>
          </cell>
        </row>
        <row r="519">
          <cell r="C519" t="str">
            <v>09P04</v>
          </cell>
          <cell r="D519" t="str">
            <v>New V6 -- Lines 4 &amp; 5 (EEP</v>
          </cell>
          <cell r="E519" t="str">
            <v>New V6</v>
          </cell>
          <cell r="F519">
            <v>39661</v>
          </cell>
          <cell r="G519">
            <v>800</v>
          </cell>
          <cell r="H519">
            <v>659</v>
          </cell>
          <cell r="I519">
            <v>1</v>
          </cell>
          <cell r="J519">
            <v>659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Q519">
            <v>0</v>
          </cell>
        </row>
        <row r="520">
          <cell r="C520" t="str">
            <v>06O95</v>
          </cell>
          <cell r="D520" t="str">
            <v>NA Ford Brand Future Prod Prov</v>
          </cell>
          <cell r="E520" t="str">
            <v>North America Ford Brand Future Product Provision</v>
          </cell>
          <cell r="F520">
            <v>38565</v>
          </cell>
          <cell r="G520">
            <v>200</v>
          </cell>
          <cell r="H520">
            <v>200</v>
          </cell>
          <cell r="I520">
            <v>1</v>
          </cell>
          <cell r="J520">
            <v>200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  <cell r="P520">
            <v>200</v>
          </cell>
          <cell r="Q520">
            <v>200</v>
          </cell>
        </row>
        <row r="521">
          <cell r="C521" t="str">
            <v>97A15</v>
          </cell>
          <cell r="D521" t="str">
            <v>97 RWD COST REDUCTIONS</v>
          </cell>
          <cell r="E521" t="str">
            <v>Other Powertrain Quality &amp; Cost Reductions</v>
          </cell>
          <cell r="F521">
            <v>35278</v>
          </cell>
          <cell r="G521">
            <v>24.309000000000001</v>
          </cell>
          <cell r="H521">
            <v>14.420999999999999</v>
          </cell>
          <cell r="I521">
            <v>0.40299999999999997</v>
          </cell>
          <cell r="J521">
            <v>5.8116629999999994</v>
          </cell>
          <cell r="K521">
            <v>4.4330000000000003E-3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</row>
        <row r="522">
          <cell r="C522" t="str">
            <v>97P15</v>
          </cell>
          <cell r="D522" t="str">
            <v>P/T COST REDUCTIONS</v>
          </cell>
          <cell r="E522" t="str">
            <v>Other Powertrain Quality &amp; Cost Reductions</v>
          </cell>
          <cell r="F522">
            <v>35278</v>
          </cell>
          <cell r="G522">
            <v>5.6470000000000002</v>
          </cell>
          <cell r="H522">
            <v>5.0339999999999998</v>
          </cell>
          <cell r="I522">
            <v>0.86200000000000021</v>
          </cell>
          <cell r="J522">
            <v>4.3393080000000008</v>
          </cell>
          <cell r="K522">
            <v>1.8964000000000002E-2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</v>
          </cell>
        </row>
        <row r="523">
          <cell r="C523" t="str">
            <v>98A15</v>
          </cell>
          <cell r="D523" t="str">
            <v>98 RWD COST REDUCT.</v>
          </cell>
          <cell r="E523" t="str">
            <v>Other Powertrain Quality &amp; Cost Reductions</v>
          </cell>
          <cell r="F523">
            <v>35643</v>
          </cell>
          <cell r="G523">
            <v>18.469000000000001</v>
          </cell>
          <cell r="H523">
            <v>12.287000000000001</v>
          </cell>
          <cell r="I523">
            <v>0.40300000000000002</v>
          </cell>
          <cell r="J523">
            <v>4.9516610000000005</v>
          </cell>
          <cell r="K523">
            <v>2.8209999999999997E-3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Q523">
            <v>0</v>
          </cell>
        </row>
        <row r="524">
          <cell r="C524" t="str">
            <v>98P15</v>
          </cell>
          <cell r="D524" t="str">
            <v>P/T COST REDUCTIONS</v>
          </cell>
          <cell r="E524" t="str">
            <v>Other Powertrain Quality &amp; Cost Reductions</v>
          </cell>
          <cell r="F524">
            <v>35643</v>
          </cell>
          <cell r="G524">
            <v>13.744999999999999</v>
          </cell>
          <cell r="H524">
            <v>9.1609999999999996</v>
          </cell>
          <cell r="I524">
            <v>0.61159262089291566</v>
          </cell>
          <cell r="J524">
            <v>5.6028000000000002</v>
          </cell>
          <cell r="K524">
            <v>0.10178999999999999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</row>
        <row r="525">
          <cell r="C525" t="str">
            <v>99P15</v>
          </cell>
          <cell r="D525" t="str">
            <v>Powertrain Cost Reductions</v>
          </cell>
          <cell r="E525" t="str">
            <v>Other Powertrain Quality &amp; Cost Reductions</v>
          </cell>
          <cell r="F525">
            <v>36342</v>
          </cell>
          <cell r="G525">
            <v>25.308</v>
          </cell>
          <cell r="H525">
            <v>22.959</v>
          </cell>
          <cell r="I525">
            <v>0.75086240689925521</v>
          </cell>
          <cell r="J525">
            <v>17.239049999999999</v>
          </cell>
          <cell r="K525">
            <v>0.90654000000000001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Q525">
            <v>0</v>
          </cell>
        </row>
        <row r="526">
          <cell r="C526" t="str">
            <v>00P15</v>
          </cell>
          <cell r="D526" t="str">
            <v>Powertrain Cost Reductions</v>
          </cell>
          <cell r="E526" t="str">
            <v>Other Powertrain Quality &amp; Cost Reductions</v>
          </cell>
          <cell r="F526">
            <v>36708</v>
          </cell>
          <cell r="G526">
            <v>46.704000000000001</v>
          </cell>
          <cell r="H526">
            <v>36.558</v>
          </cell>
          <cell r="I526">
            <v>0.87</v>
          </cell>
          <cell r="J526">
            <v>31.80546</v>
          </cell>
          <cell r="K526">
            <v>8.5268700000000006</v>
          </cell>
          <cell r="L526">
            <v>10.071990000000001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  <cell r="Q526">
            <v>10.071990000000001</v>
          </cell>
        </row>
        <row r="527">
          <cell r="C527" t="str">
            <v>01P15</v>
          </cell>
          <cell r="D527" t="str">
            <v>Powertrain Cost Reductions</v>
          </cell>
          <cell r="E527" t="str">
            <v>Other Powertrain Quality &amp; Cost Reductions</v>
          </cell>
          <cell r="F527">
            <v>37073</v>
          </cell>
          <cell r="G527">
            <v>38.871000000000002</v>
          </cell>
          <cell r="H527">
            <v>29.899000000000001</v>
          </cell>
          <cell r="I527">
            <v>0.87</v>
          </cell>
          <cell r="J527">
            <v>26.012129999999996</v>
          </cell>
          <cell r="K527">
            <v>7.0461299999999998</v>
          </cell>
          <cell r="L527">
            <v>18.535350000000001</v>
          </cell>
          <cell r="M527">
            <v>0.17399999999999999</v>
          </cell>
          <cell r="N527">
            <v>0</v>
          </cell>
          <cell r="O527">
            <v>0</v>
          </cell>
          <cell r="P527">
            <v>0</v>
          </cell>
          <cell r="Q527">
            <v>18.709350000000001</v>
          </cell>
        </row>
        <row r="528">
          <cell r="C528" t="str">
            <v>01P41</v>
          </cell>
          <cell r="D528" t="str">
            <v>Essex Engine Quality/NVH</v>
          </cell>
          <cell r="E528" t="str">
            <v>Other Powertrain Quality &amp; Cost Reductions</v>
          </cell>
          <cell r="F528">
            <v>36739</v>
          </cell>
          <cell r="G528">
            <v>37.871000000000002</v>
          </cell>
          <cell r="H528">
            <v>13.657999999999999</v>
          </cell>
          <cell r="I528">
            <v>1</v>
          </cell>
          <cell r="J528">
            <v>13.658000000000001</v>
          </cell>
          <cell r="K528">
            <v>8.6660000000000004</v>
          </cell>
          <cell r="L528">
            <v>2.8109999999999999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  <cell r="Q528">
            <v>2.8109999999999999</v>
          </cell>
        </row>
        <row r="529">
          <cell r="C529" t="str">
            <v>02P50</v>
          </cell>
          <cell r="D529" t="str">
            <v>IAFM Cost Reduction</v>
          </cell>
          <cell r="E529" t="str">
            <v>Other Powertrain Quality &amp; Cost Reductions</v>
          </cell>
          <cell r="F529">
            <v>37104</v>
          </cell>
          <cell r="G529">
            <v>32.039000000000001</v>
          </cell>
          <cell r="H529">
            <v>19.234999999999999</v>
          </cell>
          <cell r="I529">
            <v>0.68800000000000006</v>
          </cell>
          <cell r="J529">
            <v>13.233680000000001</v>
          </cell>
          <cell r="K529">
            <v>0.15892800000000001</v>
          </cell>
          <cell r="L529">
            <v>10.176896000000001</v>
          </cell>
          <cell r="M529">
            <v>2.897856</v>
          </cell>
          <cell r="N529">
            <v>0</v>
          </cell>
          <cell r="O529">
            <v>0</v>
          </cell>
          <cell r="P529">
            <v>0</v>
          </cell>
          <cell r="Q529">
            <v>13.074752</v>
          </cell>
        </row>
        <row r="530">
          <cell r="C530" t="str">
            <v>02P51</v>
          </cell>
          <cell r="D530" t="str">
            <v>EGR System Module-Cost Red.</v>
          </cell>
          <cell r="E530" t="str">
            <v>Other Powertrain Quality &amp; Cost Reductions</v>
          </cell>
          <cell r="F530">
            <v>37104</v>
          </cell>
          <cell r="G530">
            <v>3.73</v>
          </cell>
          <cell r="H530">
            <v>3.4319999999999999</v>
          </cell>
          <cell r="I530">
            <v>0.75700000000000001</v>
          </cell>
          <cell r="J530">
            <v>2.5980240000000001</v>
          </cell>
          <cell r="K530">
            <v>0.89401700000000006</v>
          </cell>
          <cell r="L530">
            <v>1.424674</v>
          </cell>
          <cell r="M530">
            <v>0.27933300000000005</v>
          </cell>
          <cell r="N530">
            <v>0</v>
          </cell>
          <cell r="O530">
            <v>0</v>
          </cell>
          <cell r="P530">
            <v>0</v>
          </cell>
          <cell r="Q530">
            <v>1.7040070000000003</v>
          </cell>
        </row>
        <row r="531">
          <cell r="C531" t="str">
            <v>04S42</v>
          </cell>
          <cell r="D531" t="str">
            <v>MTX/VXT75 ARCH RED/COMMON</v>
          </cell>
          <cell r="E531" t="str">
            <v>Other Powertrain Quality &amp; Cost Reductions</v>
          </cell>
          <cell r="F531">
            <v>37834</v>
          </cell>
          <cell r="G531">
            <v>34.700000000000003</v>
          </cell>
          <cell r="H531">
            <v>31.925000000000001</v>
          </cell>
          <cell r="I531">
            <v>0.20700000000000002</v>
          </cell>
          <cell r="J531">
            <v>6.6084750000000003</v>
          </cell>
          <cell r="K531">
            <v>0</v>
          </cell>
          <cell r="L531">
            <v>0</v>
          </cell>
          <cell r="M531">
            <v>1.1229750000000001</v>
          </cell>
          <cell r="N531">
            <v>4.6928970000000003</v>
          </cell>
          <cell r="O531">
            <v>0.79260300000000006</v>
          </cell>
          <cell r="P531">
            <v>0</v>
          </cell>
          <cell r="Q531">
            <v>6.6084750000000003</v>
          </cell>
        </row>
        <row r="532">
          <cell r="C532" t="str">
            <v>01P35</v>
          </cell>
          <cell r="D532" t="str">
            <v>PTO CSLP-3.8L/4.2L Essex</v>
          </cell>
          <cell r="E532" t="str">
            <v>Powertrain Customer Satisfaction Program</v>
          </cell>
          <cell r="F532">
            <v>37073</v>
          </cell>
          <cell r="G532">
            <v>0.16600000000000001</v>
          </cell>
          <cell r="H532">
            <v>0.154</v>
          </cell>
          <cell r="I532">
            <v>1</v>
          </cell>
          <cell r="J532">
            <v>0.15400000000000003</v>
          </cell>
          <cell r="K532">
            <v>0</v>
          </cell>
          <cell r="L532">
            <v>0.15400000000000003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0.15400000000000003</v>
          </cell>
        </row>
        <row r="533">
          <cell r="C533" t="str">
            <v>02P15</v>
          </cell>
          <cell r="D533" t="str">
            <v>Powertrain PVT</v>
          </cell>
          <cell r="E533" t="str">
            <v>Powertrain Customer Satisfaction Program</v>
          </cell>
          <cell r="F533">
            <v>37438</v>
          </cell>
          <cell r="G533">
            <v>25</v>
          </cell>
          <cell r="H533">
            <v>25</v>
          </cell>
          <cell r="I533">
            <v>0.88</v>
          </cell>
          <cell r="J533">
            <v>22</v>
          </cell>
          <cell r="K533">
            <v>0</v>
          </cell>
          <cell r="L533">
            <v>22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22</v>
          </cell>
        </row>
        <row r="534">
          <cell r="C534" t="str">
            <v>02P31</v>
          </cell>
          <cell r="D534" t="str">
            <v>PTO CSLP-4.0L Cologne</v>
          </cell>
          <cell r="E534" t="str">
            <v>Powertrain Customer Satisfaction Program</v>
          </cell>
          <cell r="F534">
            <v>37438</v>
          </cell>
          <cell r="G534">
            <v>0.25</v>
          </cell>
          <cell r="H534">
            <v>0.182</v>
          </cell>
          <cell r="I534">
            <v>1</v>
          </cell>
          <cell r="J534">
            <v>0.182</v>
          </cell>
          <cell r="K534">
            <v>0</v>
          </cell>
          <cell r="L534">
            <v>0</v>
          </cell>
          <cell r="M534">
            <v>0.182</v>
          </cell>
          <cell r="N534">
            <v>0</v>
          </cell>
          <cell r="O534">
            <v>0</v>
          </cell>
          <cell r="P534">
            <v>0</v>
          </cell>
          <cell r="Q534">
            <v>0.182</v>
          </cell>
        </row>
        <row r="535">
          <cell r="C535" t="str">
            <v>02P33</v>
          </cell>
          <cell r="D535" t="str">
            <v>PTO CSLP-3.0L Vulcan</v>
          </cell>
          <cell r="E535" t="str">
            <v>Powertrain Customer Satisfaction Program</v>
          </cell>
          <cell r="F535">
            <v>37438</v>
          </cell>
          <cell r="G535">
            <v>3.7570000000000001</v>
          </cell>
          <cell r="H535">
            <v>3.3250000000000002</v>
          </cell>
          <cell r="I535">
            <v>0.91800000000000004</v>
          </cell>
          <cell r="J535">
            <v>3.0523500000000001</v>
          </cell>
          <cell r="K535">
            <v>0</v>
          </cell>
          <cell r="L535">
            <v>1.83141</v>
          </cell>
          <cell r="M535">
            <v>1.2209400000000001</v>
          </cell>
          <cell r="N535">
            <v>0</v>
          </cell>
          <cell r="O535">
            <v>0</v>
          </cell>
          <cell r="P535">
            <v>0</v>
          </cell>
          <cell r="Q535">
            <v>3.0523500000000006</v>
          </cell>
        </row>
        <row r="536">
          <cell r="C536" t="str">
            <v>02P34</v>
          </cell>
          <cell r="D536" t="str">
            <v>PTO CSLP-5.4L/6.8L WEP</v>
          </cell>
          <cell r="E536" t="str">
            <v>Powertrain Customer Satisfaction Program</v>
          </cell>
          <cell r="F536">
            <v>37104</v>
          </cell>
          <cell r="G536">
            <v>12.561999999999999</v>
          </cell>
          <cell r="H536">
            <v>9.27</v>
          </cell>
          <cell r="I536">
            <v>0.96099999999999997</v>
          </cell>
          <cell r="J536">
            <v>8.9084699999999994</v>
          </cell>
          <cell r="K536">
            <v>0</v>
          </cell>
          <cell r="L536">
            <v>8.9084699999999994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>
            <v>8.9084699999999994</v>
          </cell>
        </row>
        <row r="537">
          <cell r="C537" t="str">
            <v>02P35</v>
          </cell>
          <cell r="D537" t="str">
            <v>PTO CSLP-FN Gear Noise</v>
          </cell>
          <cell r="E537" t="str">
            <v>Powertrain Customer Satisfaction Program</v>
          </cell>
          <cell r="F537">
            <v>37347</v>
          </cell>
          <cell r="G537">
            <v>36.700000000000003</v>
          </cell>
          <cell r="H537">
            <v>31.934999999999999</v>
          </cell>
          <cell r="I537">
            <v>0.91600000000000004</v>
          </cell>
          <cell r="J537">
            <v>29.252459999999999</v>
          </cell>
          <cell r="K537">
            <v>0</v>
          </cell>
          <cell r="L537">
            <v>9.16</v>
          </cell>
          <cell r="M537">
            <v>18.32</v>
          </cell>
          <cell r="N537">
            <v>1.7724600000000001</v>
          </cell>
          <cell r="O537">
            <v>0</v>
          </cell>
          <cell r="P537">
            <v>0</v>
          </cell>
          <cell r="Q537">
            <v>29.252459999999999</v>
          </cell>
        </row>
        <row r="538">
          <cell r="C538" t="str">
            <v>02P37</v>
          </cell>
          <cell r="D538" t="str">
            <v>PTO CSLP-4.6L REP Actions</v>
          </cell>
          <cell r="E538" t="str">
            <v>Powertrain Customer Satisfaction Program</v>
          </cell>
          <cell r="F538">
            <v>37438</v>
          </cell>
          <cell r="G538">
            <v>5.1680000000000001</v>
          </cell>
          <cell r="H538">
            <v>3.3570000000000002</v>
          </cell>
          <cell r="I538">
            <v>0.72799999999999998</v>
          </cell>
          <cell r="J538">
            <v>2.4438960000000001</v>
          </cell>
          <cell r="K538">
            <v>0.65884000000000009</v>
          </cell>
          <cell r="L538">
            <v>0.92456000000000005</v>
          </cell>
          <cell r="M538">
            <v>0.86049600000000004</v>
          </cell>
          <cell r="N538">
            <v>0</v>
          </cell>
          <cell r="O538">
            <v>0</v>
          </cell>
          <cell r="P538">
            <v>0</v>
          </cell>
          <cell r="Q538">
            <v>1.785056</v>
          </cell>
        </row>
        <row r="539">
          <cell r="C539" t="str">
            <v>02P41</v>
          </cell>
          <cell r="D539" t="str">
            <v>PTO CSLP-SPI Engine</v>
          </cell>
          <cell r="E539" t="str">
            <v>Powertrain Customer Satisfaction Program</v>
          </cell>
          <cell r="F539">
            <v>37438</v>
          </cell>
          <cell r="G539">
            <v>0.88200000000000001</v>
          </cell>
          <cell r="H539">
            <v>6.9000000000000006E-2</v>
          </cell>
          <cell r="I539">
            <v>1</v>
          </cell>
          <cell r="J539">
            <v>6.9000000000000006E-2</v>
          </cell>
          <cell r="K539">
            <v>0</v>
          </cell>
          <cell r="L539">
            <v>4.1000000000000002E-2</v>
          </cell>
          <cell r="M539">
            <v>2.8000000000000001E-2</v>
          </cell>
          <cell r="N539">
            <v>0</v>
          </cell>
          <cell r="O539">
            <v>0</v>
          </cell>
          <cell r="P539">
            <v>0</v>
          </cell>
          <cell r="Q539">
            <v>6.9000000000000006E-2</v>
          </cell>
        </row>
        <row r="540">
          <cell r="C540" t="str">
            <v>02P42</v>
          </cell>
          <cell r="D540" t="str">
            <v>PTO CSLP-5R55 A/T</v>
          </cell>
          <cell r="E540" t="str">
            <v>Powertrain Customer Satisfaction Program</v>
          </cell>
          <cell r="F540">
            <v>37438</v>
          </cell>
          <cell r="G540">
            <v>0.43</v>
          </cell>
          <cell r="H540">
            <v>0.43</v>
          </cell>
          <cell r="I540">
            <v>1</v>
          </cell>
          <cell r="J540">
            <v>0.43</v>
          </cell>
          <cell r="K540">
            <v>0</v>
          </cell>
          <cell r="L540">
            <v>0.43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0.43</v>
          </cell>
        </row>
        <row r="541">
          <cell r="C541" t="str">
            <v>02P43</v>
          </cell>
          <cell r="D541" t="str">
            <v>PTO CSLP-ATO Contamination</v>
          </cell>
          <cell r="E541" t="str">
            <v>Powertrain Customer Satisfaction Program</v>
          </cell>
          <cell r="F541">
            <v>37438</v>
          </cell>
          <cell r="G541">
            <v>44.231999999999999</v>
          </cell>
          <cell r="H541">
            <v>35.216000000000001</v>
          </cell>
          <cell r="I541">
            <v>1</v>
          </cell>
          <cell r="J541">
            <v>35.216000000000001</v>
          </cell>
          <cell r="K541">
            <v>0</v>
          </cell>
          <cell r="L541">
            <v>20.385000000000002</v>
          </cell>
          <cell r="M541">
            <v>14.831</v>
          </cell>
          <cell r="N541">
            <v>0</v>
          </cell>
          <cell r="O541">
            <v>0</v>
          </cell>
          <cell r="P541">
            <v>0</v>
          </cell>
          <cell r="Q541">
            <v>35.216000000000001</v>
          </cell>
        </row>
        <row r="542">
          <cell r="C542" t="str">
            <v>03P30</v>
          </cell>
          <cell r="D542" t="str">
            <v>PTO CSLP-3.8L/4.2L Essex</v>
          </cell>
          <cell r="E542" t="str">
            <v>Powertrain Customer Satisfaction Program</v>
          </cell>
          <cell r="F542">
            <v>37803</v>
          </cell>
          <cell r="G542">
            <v>11.728</v>
          </cell>
          <cell r="H542">
            <v>10.154</v>
          </cell>
          <cell r="I542">
            <v>1</v>
          </cell>
          <cell r="J542">
            <v>10.154</v>
          </cell>
          <cell r="K542">
            <v>0</v>
          </cell>
          <cell r="L542">
            <v>0</v>
          </cell>
          <cell r="M542">
            <v>6.0920000000000005</v>
          </cell>
          <cell r="N542">
            <v>4.0620000000000003</v>
          </cell>
          <cell r="O542">
            <v>0</v>
          </cell>
          <cell r="P542">
            <v>0</v>
          </cell>
          <cell r="Q542">
            <v>10.154</v>
          </cell>
        </row>
        <row r="543">
          <cell r="C543" t="str">
            <v>03P32</v>
          </cell>
          <cell r="D543" t="str">
            <v>PTO CSLP-SPI Engine</v>
          </cell>
          <cell r="E543" t="str">
            <v>Powertrain Customer Satisfaction Program</v>
          </cell>
          <cell r="F543">
            <v>37803</v>
          </cell>
          <cell r="G543">
            <v>3.734</v>
          </cell>
          <cell r="H543">
            <v>2.165</v>
          </cell>
          <cell r="I543">
            <v>1</v>
          </cell>
          <cell r="J543">
            <v>2.165</v>
          </cell>
          <cell r="K543">
            <v>0</v>
          </cell>
          <cell r="L543">
            <v>0</v>
          </cell>
          <cell r="M543">
            <v>2.165</v>
          </cell>
          <cell r="N543">
            <v>0</v>
          </cell>
          <cell r="O543">
            <v>0</v>
          </cell>
          <cell r="P543">
            <v>0</v>
          </cell>
          <cell r="Q543">
            <v>2.165</v>
          </cell>
        </row>
        <row r="544">
          <cell r="C544" t="str">
            <v>03P33</v>
          </cell>
          <cell r="D544" t="str">
            <v>PTO CSLP-Zetec Engine</v>
          </cell>
          <cell r="E544" t="str">
            <v>Powertrain Customer Satisfaction Program</v>
          </cell>
          <cell r="F544">
            <v>37803</v>
          </cell>
          <cell r="G544">
            <v>5.54</v>
          </cell>
          <cell r="H544">
            <v>3.24</v>
          </cell>
          <cell r="I544">
            <v>1</v>
          </cell>
          <cell r="J544">
            <v>3.24</v>
          </cell>
          <cell r="K544">
            <v>0</v>
          </cell>
          <cell r="L544">
            <v>0</v>
          </cell>
          <cell r="M544">
            <v>1.944</v>
          </cell>
          <cell r="N544">
            <v>1.296</v>
          </cell>
          <cell r="O544">
            <v>0</v>
          </cell>
          <cell r="P544">
            <v>0</v>
          </cell>
          <cell r="Q544">
            <v>3.24</v>
          </cell>
        </row>
        <row r="545">
          <cell r="C545" t="str">
            <v>03P34</v>
          </cell>
          <cell r="D545" t="str">
            <v>PTO Customer Sat Ldshp Pgm</v>
          </cell>
          <cell r="E545" t="str">
            <v>Powertrain Customer Satisfaction Program</v>
          </cell>
          <cell r="F545">
            <v>37469</v>
          </cell>
          <cell r="G545">
            <v>432.75099999999998</v>
          </cell>
          <cell r="H545">
            <v>209.952</v>
          </cell>
          <cell r="I545">
            <v>0.86499999999999999</v>
          </cell>
          <cell r="J545">
            <v>181.60847999999999</v>
          </cell>
          <cell r="K545">
            <v>0</v>
          </cell>
          <cell r="L545">
            <v>53.038340000000005</v>
          </cell>
          <cell r="M545">
            <v>96.784850000000006</v>
          </cell>
          <cell r="N545">
            <v>31.785290000000003</v>
          </cell>
          <cell r="O545">
            <v>0</v>
          </cell>
          <cell r="P545">
            <v>0</v>
          </cell>
          <cell r="Q545">
            <v>181.60847999999999</v>
          </cell>
        </row>
        <row r="546">
          <cell r="C546" t="str">
            <v>03P35</v>
          </cell>
          <cell r="D546" t="str">
            <v>PTO CSLP-PTSE</v>
          </cell>
          <cell r="E546" t="str">
            <v>Powertrain Customer Satisfaction Program</v>
          </cell>
          <cell r="F546">
            <v>37469</v>
          </cell>
          <cell r="G546">
            <v>50</v>
          </cell>
          <cell r="H546">
            <v>50</v>
          </cell>
          <cell r="I546">
            <v>0.86499999999999999</v>
          </cell>
          <cell r="J546">
            <v>43.25</v>
          </cell>
          <cell r="K546">
            <v>0</v>
          </cell>
          <cell r="L546">
            <v>9.0824999999999996</v>
          </cell>
          <cell r="M546">
            <v>25.95</v>
          </cell>
          <cell r="N546">
            <v>8.2174999999999994</v>
          </cell>
          <cell r="O546">
            <v>0</v>
          </cell>
          <cell r="P546">
            <v>0</v>
          </cell>
          <cell r="Q546">
            <v>43.25</v>
          </cell>
        </row>
        <row r="547">
          <cell r="C547" t="str">
            <v>03P37</v>
          </cell>
          <cell r="D547" t="str">
            <v>PTO CSLP-4.6L REP Actions</v>
          </cell>
          <cell r="E547" t="str">
            <v>Powertrain Customer Satisfaction Program</v>
          </cell>
          <cell r="F547">
            <v>37438</v>
          </cell>
          <cell r="G547">
            <v>10.242000000000001</v>
          </cell>
          <cell r="H547">
            <v>8.3369999999999997</v>
          </cell>
          <cell r="I547">
            <v>0.72799999999999998</v>
          </cell>
          <cell r="J547">
            <v>6.0693359999999998</v>
          </cell>
          <cell r="K547">
            <v>0</v>
          </cell>
          <cell r="L547">
            <v>7.2800000000000002E-4</v>
          </cell>
          <cell r="M547">
            <v>3.6407279999999997</v>
          </cell>
          <cell r="N547">
            <v>2.42788</v>
          </cell>
          <cell r="O547">
            <v>0</v>
          </cell>
          <cell r="P547">
            <v>0</v>
          </cell>
          <cell r="Q547">
            <v>6.0693359999999998</v>
          </cell>
        </row>
        <row r="548">
          <cell r="C548" t="str">
            <v>04P35</v>
          </cell>
          <cell r="D548" t="str">
            <v>PTO CSLP-3.9L Engine</v>
          </cell>
          <cell r="E548" t="str">
            <v>Powertrain Customer Satisfaction Program</v>
          </cell>
          <cell r="F548">
            <v>38169</v>
          </cell>
          <cell r="G548">
            <v>1.45</v>
          </cell>
          <cell r="H548">
            <v>1.425</v>
          </cell>
          <cell r="I548">
            <v>0.38</v>
          </cell>
          <cell r="J548">
            <v>0.54149999999999998</v>
          </cell>
          <cell r="K548">
            <v>0</v>
          </cell>
          <cell r="L548">
            <v>0</v>
          </cell>
          <cell r="M548">
            <v>0</v>
          </cell>
          <cell r="N548">
            <v>0.32490000000000002</v>
          </cell>
          <cell r="O548">
            <v>0.21659999999999999</v>
          </cell>
          <cell r="P548">
            <v>0</v>
          </cell>
          <cell r="Q548">
            <v>0.54149999999999998</v>
          </cell>
        </row>
        <row r="549">
          <cell r="C549" t="str">
            <v>04P36</v>
          </cell>
          <cell r="D549" t="str">
            <v>PTO CSLP-4.6L REP Actions</v>
          </cell>
          <cell r="E549" t="str">
            <v>Powertrain Customer Satisfaction Program</v>
          </cell>
          <cell r="F549">
            <v>37803</v>
          </cell>
          <cell r="G549">
            <v>3.2109999999999999</v>
          </cell>
          <cell r="H549">
            <v>3.1150000000000002</v>
          </cell>
          <cell r="I549">
            <v>0.72799999999999987</v>
          </cell>
          <cell r="J549">
            <v>2.2677199999999997</v>
          </cell>
          <cell r="K549">
            <v>0</v>
          </cell>
          <cell r="L549">
            <v>7.2800000000000002E-4</v>
          </cell>
          <cell r="M549">
            <v>0</v>
          </cell>
          <cell r="N549">
            <v>1.3606320000000001</v>
          </cell>
          <cell r="O549">
            <v>0.90636000000000005</v>
          </cell>
          <cell r="P549">
            <v>0</v>
          </cell>
          <cell r="Q549">
            <v>2.2677199999999997</v>
          </cell>
        </row>
        <row r="550">
          <cell r="C550" t="str">
            <v>02O98</v>
          </cell>
          <cell r="D550" t="str">
            <v>Quality Cycle Plan Provision</v>
          </cell>
          <cell r="E550" t="str">
            <v>Quality &amp; Warranty</v>
          </cell>
          <cell r="F550">
            <v>37104</v>
          </cell>
          <cell r="G550">
            <v>32.5</v>
          </cell>
          <cell r="H550">
            <v>32.5</v>
          </cell>
          <cell r="I550">
            <v>0.90099999999999991</v>
          </cell>
          <cell r="J550">
            <v>29.282499999999999</v>
          </cell>
          <cell r="K550">
            <v>0</v>
          </cell>
          <cell r="L550">
            <v>29.282499999999999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Q550">
            <v>29.282499999999999</v>
          </cell>
        </row>
        <row r="551">
          <cell r="C551" t="str">
            <v>03O41</v>
          </cell>
          <cell r="D551" t="str">
            <v>PVT/WARRANTY FUNDS-N/A</v>
          </cell>
          <cell r="E551" t="str">
            <v>Quality &amp; Warranty</v>
          </cell>
          <cell r="F551">
            <v>37469</v>
          </cell>
          <cell r="G551">
            <v>107.9</v>
          </cell>
          <cell r="H551">
            <v>68.5</v>
          </cell>
          <cell r="I551">
            <v>0.85</v>
          </cell>
          <cell r="J551">
            <v>58.225000000000001</v>
          </cell>
          <cell r="K551">
            <v>0</v>
          </cell>
          <cell r="L551">
            <v>0</v>
          </cell>
          <cell r="M551">
            <v>58.225000000000001</v>
          </cell>
          <cell r="N551">
            <v>0</v>
          </cell>
          <cell r="O551">
            <v>0</v>
          </cell>
          <cell r="P551">
            <v>0</v>
          </cell>
          <cell r="Q551">
            <v>58.225000000000001</v>
          </cell>
        </row>
        <row r="552">
          <cell r="C552" t="str">
            <v>03O98</v>
          </cell>
          <cell r="D552" t="str">
            <v>Quality Cycle Plan Provision</v>
          </cell>
          <cell r="E552" t="str">
            <v>Quality &amp; Warranty</v>
          </cell>
          <cell r="F552">
            <v>37469</v>
          </cell>
          <cell r="G552">
            <v>27.6</v>
          </cell>
          <cell r="H552">
            <v>27.6</v>
          </cell>
          <cell r="I552">
            <v>0.85</v>
          </cell>
          <cell r="J552">
            <v>23.46</v>
          </cell>
          <cell r="K552">
            <v>0</v>
          </cell>
          <cell r="L552">
            <v>0</v>
          </cell>
          <cell r="M552">
            <v>23.46</v>
          </cell>
          <cell r="N552">
            <v>0</v>
          </cell>
          <cell r="O552">
            <v>0</v>
          </cell>
          <cell r="P552">
            <v>0</v>
          </cell>
          <cell r="Q552">
            <v>23.46</v>
          </cell>
        </row>
        <row r="553">
          <cell r="C553" t="str">
            <v>04O41</v>
          </cell>
          <cell r="D553" t="str">
            <v>PVT/WARRANTY FUNDS-N/A</v>
          </cell>
          <cell r="E553" t="str">
            <v>Quality &amp; Warranty</v>
          </cell>
          <cell r="F553">
            <v>37834</v>
          </cell>
          <cell r="G553">
            <v>125.1</v>
          </cell>
          <cell r="H553">
            <v>80.2</v>
          </cell>
          <cell r="I553">
            <v>0.88200000000000001</v>
          </cell>
          <cell r="J553">
            <v>70.736400000000003</v>
          </cell>
          <cell r="K553">
            <v>0</v>
          </cell>
          <cell r="L553">
            <v>0</v>
          </cell>
          <cell r="M553">
            <v>0</v>
          </cell>
          <cell r="N553">
            <v>70.736400000000003</v>
          </cell>
          <cell r="O553">
            <v>0</v>
          </cell>
          <cell r="P553">
            <v>0</v>
          </cell>
          <cell r="Q553">
            <v>70.736400000000003</v>
          </cell>
        </row>
        <row r="554">
          <cell r="C554" t="str">
            <v>04O98</v>
          </cell>
          <cell r="D554" t="str">
            <v>Quality Cycle Plan Provision</v>
          </cell>
          <cell r="E554" t="str">
            <v>Quality &amp; Warranty</v>
          </cell>
          <cell r="F554">
            <v>37834</v>
          </cell>
          <cell r="G554">
            <v>0.5</v>
          </cell>
          <cell r="H554">
            <v>0.5</v>
          </cell>
          <cell r="I554">
            <v>0.88200000000000012</v>
          </cell>
          <cell r="J554">
            <v>0.44100000000000006</v>
          </cell>
          <cell r="K554">
            <v>0</v>
          </cell>
          <cell r="L554">
            <v>0</v>
          </cell>
          <cell r="M554">
            <v>0</v>
          </cell>
          <cell r="N554">
            <v>0.44100000000000006</v>
          </cell>
          <cell r="O554">
            <v>0</v>
          </cell>
          <cell r="P554">
            <v>0</v>
          </cell>
          <cell r="Q554">
            <v>0.44100000000000006</v>
          </cell>
        </row>
        <row r="555">
          <cell r="C555" t="str">
            <v>05O41</v>
          </cell>
          <cell r="D555" t="str">
            <v>PVT/WARRANTY FUNDS-N/A</v>
          </cell>
          <cell r="E555" t="str">
            <v>Quality &amp; Warranty</v>
          </cell>
          <cell r="F555">
            <v>38200</v>
          </cell>
          <cell r="G555">
            <v>153.69999999999999</v>
          </cell>
          <cell r="H555">
            <v>98.9</v>
          </cell>
          <cell r="I555">
            <v>0.88200000000000012</v>
          </cell>
          <cell r="J555">
            <v>87.229800000000012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87.229800000000012</v>
          </cell>
          <cell r="P555">
            <v>0</v>
          </cell>
          <cell r="Q555">
            <v>87.229800000000012</v>
          </cell>
        </row>
        <row r="556">
          <cell r="C556" t="str">
            <v>06O41</v>
          </cell>
          <cell r="D556" t="str">
            <v>PVT/WARRANTY FUNDS-N/A</v>
          </cell>
          <cell r="E556" t="str">
            <v>Quality &amp; Warranty</v>
          </cell>
          <cell r="F556">
            <v>38565</v>
          </cell>
          <cell r="G556">
            <v>155</v>
          </cell>
          <cell r="H556">
            <v>100</v>
          </cell>
          <cell r="I556">
            <v>0.88200000000000001</v>
          </cell>
          <cell r="J556">
            <v>88.2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88.2</v>
          </cell>
          <cell r="Q556">
            <v>88.2</v>
          </cell>
        </row>
        <row r="557">
          <cell r="C557" t="str">
            <v>03P02</v>
          </cell>
          <cell r="D557" t="str">
            <v>Ranger I-Engine Balance Shaft</v>
          </cell>
          <cell r="E557" t="str">
            <v>All Other Powertrain</v>
          </cell>
          <cell r="F557">
            <v>37591</v>
          </cell>
          <cell r="G557">
            <v>35</v>
          </cell>
          <cell r="H557">
            <v>28.6</v>
          </cell>
          <cell r="I557">
            <v>1</v>
          </cell>
          <cell r="J557">
            <v>28.6</v>
          </cell>
          <cell r="K557">
            <v>0</v>
          </cell>
          <cell r="L557">
            <v>0</v>
          </cell>
          <cell r="M557">
            <v>22.219000000000001</v>
          </cell>
          <cell r="N557">
            <v>5.7530000000000001</v>
          </cell>
          <cell r="O557">
            <v>0.628</v>
          </cell>
          <cell r="P557">
            <v>0</v>
          </cell>
          <cell r="Q557">
            <v>28.6</v>
          </cell>
        </row>
        <row r="558">
          <cell r="C558" t="str">
            <v>03O55</v>
          </cell>
          <cell r="D558" t="str">
            <v>Rouge Heritage - Base Plan</v>
          </cell>
          <cell r="E558" t="str">
            <v>Rouge Heritage Plan</v>
          </cell>
          <cell r="F558">
            <v>38018</v>
          </cell>
          <cell r="G558">
            <v>869.29300000000001</v>
          </cell>
          <cell r="H558">
            <v>687.77</v>
          </cell>
          <cell r="I558">
            <v>1</v>
          </cell>
          <cell r="J558">
            <v>687.77</v>
          </cell>
          <cell r="K558">
            <v>22.498000000000001</v>
          </cell>
          <cell r="L558">
            <v>100.63300000000001</v>
          </cell>
          <cell r="M558">
            <v>250.05500000000001</v>
          </cell>
          <cell r="N558">
            <v>251.36199999999999</v>
          </cell>
          <cell r="O558">
            <v>62.775999999999996</v>
          </cell>
          <cell r="P558">
            <v>0</v>
          </cell>
          <cell r="Q558">
            <v>664.82600000000002</v>
          </cell>
        </row>
        <row r="559">
          <cell r="C559" t="str">
            <v>03O56</v>
          </cell>
          <cell r="D559" t="str">
            <v>Rouge Heritage - Green Site</v>
          </cell>
          <cell r="E559" t="str">
            <v>Rouge Heritage Plan</v>
          </cell>
          <cell r="F559">
            <v>38018</v>
          </cell>
          <cell r="G559">
            <v>108.366</v>
          </cell>
          <cell r="H559">
            <v>83</v>
          </cell>
          <cell r="I559">
            <v>1</v>
          </cell>
          <cell r="J559">
            <v>83</v>
          </cell>
          <cell r="K559">
            <v>0</v>
          </cell>
          <cell r="L559">
            <v>0</v>
          </cell>
          <cell r="M559">
            <v>29</v>
          </cell>
          <cell r="N559">
            <v>34</v>
          </cell>
          <cell r="O559">
            <v>20</v>
          </cell>
          <cell r="P559">
            <v>0</v>
          </cell>
          <cell r="Q559">
            <v>83</v>
          </cell>
        </row>
        <row r="560">
          <cell r="C560" t="str">
            <v>03O91</v>
          </cell>
          <cell r="D560" t="str">
            <v>Spirit of Ford Fund-LVC</v>
          </cell>
          <cell r="E560" t="str">
            <v>Spirit of Ford Provision</v>
          </cell>
          <cell r="F560">
            <v>37469</v>
          </cell>
          <cell r="G560">
            <v>23</v>
          </cell>
          <cell r="H560">
            <v>20</v>
          </cell>
          <cell r="I560">
            <v>0.68899999999999995</v>
          </cell>
          <cell r="J560">
            <v>13.78</v>
          </cell>
          <cell r="K560">
            <v>0</v>
          </cell>
          <cell r="L560">
            <v>0</v>
          </cell>
          <cell r="M560">
            <v>13.78</v>
          </cell>
          <cell r="N560">
            <v>0</v>
          </cell>
          <cell r="O560">
            <v>0</v>
          </cell>
          <cell r="P560">
            <v>0</v>
          </cell>
          <cell r="Q560">
            <v>13.78</v>
          </cell>
        </row>
        <row r="561">
          <cell r="C561" t="str">
            <v>03O92</v>
          </cell>
          <cell r="D561" t="str">
            <v>Spirit of Ford Fund-TVC</v>
          </cell>
          <cell r="E561" t="str">
            <v>Spirit of Ford Provision</v>
          </cell>
          <cell r="F561">
            <v>37469</v>
          </cell>
          <cell r="G561">
            <v>12.7</v>
          </cell>
          <cell r="H561">
            <v>9.6999999999999993</v>
          </cell>
          <cell r="I561">
            <v>0.95200000000000018</v>
          </cell>
          <cell r="J561">
            <v>9.2344000000000008</v>
          </cell>
          <cell r="K561">
            <v>0</v>
          </cell>
          <cell r="L561">
            <v>0</v>
          </cell>
          <cell r="M561">
            <v>9.2344000000000008</v>
          </cell>
          <cell r="N561">
            <v>0</v>
          </cell>
          <cell r="O561">
            <v>0</v>
          </cell>
          <cell r="P561">
            <v>0</v>
          </cell>
          <cell r="Q561">
            <v>9.2344000000000008</v>
          </cell>
        </row>
        <row r="562">
          <cell r="C562" t="str">
            <v>04O91</v>
          </cell>
          <cell r="D562" t="str">
            <v>Spirit of Ford Fund-LVC</v>
          </cell>
          <cell r="E562" t="str">
            <v>Spirit of Ford Provision</v>
          </cell>
          <cell r="F562">
            <v>37834</v>
          </cell>
          <cell r="G562">
            <v>86</v>
          </cell>
          <cell r="H562">
            <v>36</v>
          </cell>
          <cell r="I562">
            <v>0.68899999999999995</v>
          </cell>
          <cell r="J562">
            <v>24.803999999999998</v>
          </cell>
          <cell r="K562">
            <v>0</v>
          </cell>
          <cell r="L562">
            <v>0</v>
          </cell>
          <cell r="M562">
            <v>0</v>
          </cell>
          <cell r="N562">
            <v>24.803999999999998</v>
          </cell>
          <cell r="O562">
            <v>0</v>
          </cell>
          <cell r="P562">
            <v>0</v>
          </cell>
          <cell r="Q562">
            <v>24.803999999999998</v>
          </cell>
        </row>
        <row r="563">
          <cell r="C563" t="str">
            <v>04O92</v>
          </cell>
          <cell r="D563" t="str">
            <v>Spirit of Ford Fund-TVC</v>
          </cell>
          <cell r="E563" t="str">
            <v>Spirit of Ford Provision</v>
          </cell>
          <cell r="F563">
            <v>37834</v>
          </cell>
          <cell r="G563">
            <v>80.7</v>
          </cell>
          <cell r="H563">
            <v>45</v>
          </cell>
          <cell r="I563">
            <v>0.95200000000000007</v>
          </cell>
          <cell r="J563">
            <v>42.84</v>
          </cell>
          <cell r="K563">
            <v>0</v>
          </cell>
          <cell r="L563">
            <v>0</v>
          </cell>
          <cell r="M563">
            <v>0</v>
          </cell>
          <cell r="N563">
            <v>42.84</v>
          </cell>
          <cell r="O563">
            <v>0</v>
          </cell>
          <cell r="P563">
            <v>0</v>
          </cell>
          <cell r="Q563">
            <v>42.84</v>
          </cell>
        </row>
        <row r="564">
          <cell r="C564" t="str">
            <v>02E10</v>
          </cell>
          <cell r="D564" t="str">
            <v>St. Thomas Paint Upgrade</v>
          </cell>
          <cell r="E564" t="str">
            <v>St. Thomas Paint Upgrade</v>
          </cell>
          <cell r="F564">
            <v>37288</v>
          </cell>
          <cell r="G564">
            <v>95.1</v>
          </cell>
          <cell r="H564">
            <v>93</v>
          </cell>
          <cell r="I564">
            <v>0.5</v>
          </cell>
          <cell r="J564">
            <v>46.5</v>
          </cell>
          <cell r="K564">
            <v>15.487</v>
          </cell>
          <cell r="L564">
            <v>28.783000000000001</v>
          </cell>
          <cell r="M564">
            <v>2.23</v>
          </cell>
          <cell r="N564">
            <v>0</v>
          </cell>
          <cell r="O564">
            <v>0</v>
          </cell>
          <cell r="P564">
            <v>0</v>
          </cell>
          <cell r="Q564">
            <v>31.013000000000002</v>
          </cell>
        </row>
        <row r="565">
          <cell r="C565" t="str">
            <v>99X02</v>
          </cell>
          <cell r="D565" t="str">
            <v>99-1/2 SVT PN96</v>
          </cell>
          <cell r="E565" t="str">
            <v>SVT Spending</v>
          </cell>
          <cell r="F565">
            <v>36220</v>
          </cell>
          <cell r="G565">
            <v>15.061999999999999</v>
          </cell>
          <cell r="H565">
            <v>13.574</v>
          </cell>
          <cell r="I565">
            <v>1</v>
          </cell>
          <cell r="J565">
            <v>13.574</v>
          </cell>
          <cell r="K565">
            <v>0.53800000000000003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</row>
        <row r="566">
          <cell r="C566" t="str">
            <v>00I02</v>
          </cell>
          <cell r="D566" t="str">
            <v>SVT Cobra R</v>
          </cell>
          <cell r="E566" t="str">
            <v>SVT Spending</v>
          </cell>
          <cell r="F566">
            <v>36599</v>
          </cell>
          <cell r="G566">
            <v>6.1</v>
          </cell>
          <cell r="H566">
            <v>1.2</v>
          </cell>
          <cell r="I566">
            <v>1</v>
          </cell>
          <cell r="J566">
            <v>1.2</v>
          </cell>
          <cell r="K566">
            <v>0.442</v>
          </cell>
          <cell r="L566">
            <v>0.75800000000000001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>
            <v>0.75800000000000001</v>
          </cell>
        </row>
        <row r="567">
          <cell r="C567" t="str">
            <v>00X05</v>
          </cell>
          <cell r="D567" t="str">
            <v>SVT PN96 S/C Lightning</v>
          </cell>
          <cell r="E567" t="str">
            <v>SVT Spending</v>
          </cell>
          <cell r="F567">
            <v>36373</v>
          </cell>
          <cell r="G567">
            <v>0.28299999999999997</v>
          </cell>
          <cell r="H567">
            <v>0.26600000000000001</v>
          </cell>
          <cell r="I567">
            <v>1</v>
          </cell>
          <cell r="J567">
            <v>0.26600000000000001</v>
          </cell>
          <cell r="K567">
            <v>0.21099999999999999</v>
          </cell>
          <cell r="L567">
            <v>4.7E-2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>
            <v>4.7E-2</v>
          </cell>
        </row>
        <row r="568">
          <cell r="C568" t="str">
            <v>01X01</v>
          </cell>
          <cell r="D568" t="str">
            <v>SVT PN96 PERF UPGRADE</v>
          </cell>
          <cell r="E568" t="str">
            <v>SVT Spending</v>
          </cell>
          <cell r="F568">
            <v>36861</v>
          </cell>
          <cell r="G568">
            <v>13.285</v>
          </cell>
          <cell r="H568">
            <v>5.9</v>
          </cell>
          <cell r="I568">
            <v>1</v>
          </cell>
          <cell r="J568">
            <v>5.9</v>
          </cell>
          <cell r="K568">
            <v>0.48599999999999999</v>
          </cell>
          <cell r="L568">
            <v>5.4139999999999997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5.4139999999999997</v>
          </cell>
        </row>
        <row r="569">
          <cell r="C569" t="str">
            <v>02I20</v>
          </cell>
          <cell r="D569" t="str">
            <v>SN95 SVT Terminator</v>
          </cell>
          <cell r="E569" t="str">
            <v>SVT Spending</v>
          </cell>
          <cell r="F569">
            <v>37316</v>
          </cell>
          <cell r="G569">
            <v>44.015999999999998</v>
          </cell>
          <cell r="H569">
            <v>18.715</v>
          </cell>
          <cell r="I569">
            <v>1</v>
          </cell>
          <cell r="J569">
            <v>18.715</v>
          </cell>
          <cell r="K569">
            <v>0</v>
          </cell>
          <cell r="L569">
            <v>7.6639999999999997</v>
          </cell>
          <cell r="M569">
            <v>9.69</v>
          </cell>
          <cell r="N569">
            <v>0.441</v>
          </cell>
          <cell r="O569">
            <v>0.441</v>
          </cell>
          <cell r="P569">
            <v>0.441</v>
          </cell>
          <cell r="Q569">
            <v>18.676999999999996</v>
          </cell>
        </row>
        <row r="570">
          <cell r="C570" t="str">
            <v>02L05</v>
          </cell>
          <cell r="D570" t="str">
            <v>SVT C170 NA</v>
          </cell>
          <cell r="E570" t="str">
            <v>SVT Spending</v>
          </cell>
          <cell r="F570">
            <v>37200</v>
          </cell>
          <cell r="G570">
            <v>43.470999999999997</v>
          </cell>
          <cell r="H570">
            <v>17.242999999999999</v>
          </cell>
          <cell r="I570">
            <v>1</v>
          </cell>
          <cell r="J570">
            <v>17.243000000000002</v>
          </cell>
          <cell r="K570">
            <v>4.3999999999999997E-2</v>
          </cell>
          <cell r="L570">
            <v>13.832000000000001</v>
          </cell>
          <cell r="M570">
            <v>3.3210000000000002</v>
          </cell>
          <cell r="N570">
            <v>4.5999999999999999E-2</v>
          </cell>
          <cell r="O570">
            <v>0</v>
          </cell>
          <cell r="P570">
            <v>0</v>
          </cell>
          <cell r="Q570">
            <v>17.199000000000002</v>
          </cell>
        </row>
        <row r="571">
          <cell r="C571" t="str">
            <v>03I20</v>
          </cell>
          <cell r="D571" t="str">
            <v>03MY SVT Cobra R</v>
          </cell>
          <cell r="E571" t="str">
            <v>SVT Spending</v>
          </cell>
          <cell r="F571">
            <v>37653</v>
          </cell>
          <cell r="G571">
            <v>9.0009999999999994</v>
          </cell>
          <cell r="H571">
            <v>7</v>
          </cell>
          <cell r="I571">
            <v>1</v>
          </cell>
          <cell r="J571">
            <v>7</v>
          </cell>
          <cell r="K571">
            <v>0</v>
          </cell>
          <cell r="L571">
            <v>0</v>
          </cell>
          <cell r="M571">
            <v>7</v>
          </cell>
          <cell r="N571">
            <v>0</v>
          </cell>
          <cell r="O571">
            <v>0</v>
          </cell>
          <cell r="P571">
            <v>0</v>
          </cell>
          <cell r="Q571">
            <v>7</v>
          </cell>
        </row>
        <row r="572">
          <cell r="C572" t="str">
            <v>04L25</v>
          </cell>
          <cell r="D572" t="str">
            <v>04MY SVT Focus</v>
          </cell>
          <cell r="E572" t="str">
            <v>SVT Spending</v>
          </cell>
          <cell r="F572">
            <v>37895</v>
          </cell>
          <cell r="G572">
            <v>22</v>
          </cell>
          <cell r="H572">
            <v>10</v>
          </cell>
          <cell r="I572">
            <v>1</v>
          </cell>
          <cell r="J572">
            <v>10</v>
          </cell>
          <cell r="K572">
            <v>0</v>
          </cell>
          <cell r="L572">
            <v>0</v>
          </cell>
          <cell r="M572">
            <v>2</v>
          </cell>
          <cell r="N572">
            <v>2</v>
          </cell>
          <cell r="O572">
            <v>6</v>
          </cell>
          <cell r="P572">
            <v>0</v>
          </cell>
          <cell r="Q572">
            <v>10</v>
          </cell>
        </row>
        <row r="573">
          <cell r="C573" t="str">
            <v>04X01</v>
          </cell>
          <cell r="D573" t="str">
            <v>SVT PN96 Tomcat</v>
          </cell>
          <cell r="E573" t="str">
            <v>SVT Spending</v>
          </cell>
          <cell r="F573">
            <v>37926</v>
          </cell>
          <cell r="G573">
            <v>28.201000000000001</v>
          </cell>
          <cell r="H573">
            <v>12</v>
          </cell>
          <cell r="I573">
            <v>1</v>
          </cell>
          <cell r="J573">
            <v>12</v>
          </cell>
          <cell r="K573">
            <v>0</v>
          </cell>
          <cell r="L573">
            <v>0</v>
          </cell>
          <cell r="M573">
            <v>1</v>
          </cell>
          <cell r="N573">
            <v>11</v>
          </cell>
          <cell r="O573">
            <v>0</v>
          </cell>
          <cell r="P573">
            <v>0</v>
          </cell>
          <cell r="Q573">
            <v>12</v>
          </cell>
        </row>
        <row r="574">
          <cell r="C574" t="str">
            <v>05G20</v>
          </cell>
          <cell r="D574" t="str">
            <v>M205 SVT</v>
          </cell>
          <cell r="E574" t="str">
            <v>SVT Spending</v>
          </cell>
          <cell r="F574">
            <v>38231</v>
          </cell>
          <cell r="G574">
            <v>61.3</v>
          </cell>
          <cell r="H574">
            <v>30</v>
          </cell>
          <cell r="I574">
            <v>1</v>
          </cell>
          <cell r="J574">
            <v>30</v>
          </cell>
          <cell r="K574">
            <v>0</v>
          </cell>
          <cell r="L574">
            <v>0</v>
          </cell>
          <cell r="M574">
            <v>5</v>
          </cell>
          <cell r="N574">
            <v>10</v>
          </cell>
          <cell r="O574">
            <v>10</v>
          </cell>
          <cell r="P574">
            <v>5</v>
          </cell>
          <cell r="Q574">
            <v>30</v>
          </cell>
        </row>
        <row r="575">
          <cell r="C575" t="str">
            <v>05I20</v>
          </cell>
          <cell r="D575" t="str">
            <v>05MY SVT Cobra R</v>
          </cell>
          <cell r="E575" t="str">
            <v>SVT Spending</v>
          </cell>
          <cell r="F575">
            <v>38384</v>
          </cell>
          <cell r="G575">
            <v>7</v>
          </cell>
          <cell r="H575">
            <v>5</v>
          </cell>
          <cell r="I575">
            <v>1</v>
          </cell>
          <cell r="J575">
            <v>5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5</v>
          </cell>
          <cell r="P575">
            <v>0</v>
          </cell>
          <cell r="Q575">
            <v>5</v>
          </cell>
        </row>
        <row r="576">
          <cell r="C576" t="str">
            <v>05I21</v>
          </cell>
          <cell r="D576" t="str">
            <v>S197 SVT Condor</v>
          </cell>
          <cell r="E576" t="str">
            <v>SVT Spending</v>
          </cell>
          <cell r="F576">
            <v>38231</v>
          </cell>
          <cell r="G576">
            <v>50</v>
          </cell>
          <cell r="H576">
            <v>26</v>
          </cell>
          <cell r="I576">
            <v>1</v>
          </cell>
          <cell r="J576">
            <v>26</v>
          </cell>
          <cell r="K576">
            <v>0</v>
          </cell>
          <cell r="L576">
            <v>0</v>
          </cell>
          <cell r="M576">
            <v>5</v>
          </cell>
          <cell r="N576">
            <v>7</v>
          </cell>
          <cell r="O576">
            <v>9</v>
          </cell>
          <cell r="P576">
            <v>5</v>
          </cell>
          <cell r="Q576">
            <v>26</v>
          </cell>
        </row>
        <row r="577">
          <cell r="C577" t="str">
            <v>07X20</v>
          </cell>
          <cell r="D577" t="str">
            <v>P221 SVT Lightning</v>
          </cell>
          <cell r="E577" t="str">
            <v>SVT Spending</v>
          </cell>
          <cell r="F577">
            <v>39142</v>
          </cell>
          <cell r="G577">
            <v>57</v>
          </cell>
          <cell r="H577">
            <v>42</v>
          </cell>
          <cell r="I577">
            <v>1</v>
          </cell>
          <cell r="J577">
            <v>42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10</v>
          </cell>
          <cell r="Q577">
            <v>10</v>
          </cell>
        </row>
        <row r="578">
          <cell r="C578" t="str">
            <v>08I20</v>
          </cell>
          <cell r="D578" t="str">
            <v>S197 SVT</v>
          </cell>
          <cell r="E578" t="str">
            <v>SVT Spending</v>
          </cell>
          <cell r="F578">
            <v>39326</v>
          </cell>
          <cell r="G578">
            <v>46</v>
          </cell>
          <cell r="H578">
            <v>24</v>
          </cell>
          <cell r="I578">
            <v>1</v>
          </cell>
          <cell r="J578">
            <v>24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10</v>
          </cell>
          <cell r="Q578">
            <v>10</v>
          </cell>
        </row>
        <row r="579">
          <cell r="C579" t="str">
            <v>08L25</v>
          </cell>
          <cell r="D579" t="str">
            <v>08MY SVT Focus</v>
          </cell>
          <cell r="E579" t="str">
            <v>SVT Spending</v>
          </cell>
          <cell r="F579">
            <v>39356</v>
          </cell>
          <cell r="G579">
            <v>29.5</v>
          </cell>
          <cell r="H579">
            <v>14</v>
          </cell>
          <cell r="I579">
            <v>1</v>
          </cell>
          <cell r="J579">
            <v>14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ping"/>
      <sheetName val="Parts"/>
      <sheetName val="Builds"/>
      <sheetName val="Effectivity"/>
      <sheetName val="Feature Families"/>
      <sheetName val="Usages"/>
      <sheetName val="Features"/>
      <sheetName val="Colors"/>
      <sheetName val="Engineers"/>
      <sheetName val="CPSC"/>
      <sheetName val="Activities"/>
      <sheetName val="Harvest"/>
      <sheetName val="Header"/>
      <sheetName val="Misc Cod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R"/>
      <sheetName val="645a 9-18 PTO 4.3"/>
      <sheetName val="Sheet3"/>
      <sheetName val="645a9_18PTO4_3"/>
      <sheetName val="645a 9_18 PTO 4_3"/>
      <sheetName val="Parts Requiring Orders"/>
      <sheetName val="V188 First Launch"/>
      <sheetName val="Spider Preiseingabe"/>
      <sheetName val="Macro1"/>
      <sheetName val="645a_9-18_PTO_4_3"/>
      <sheetName val="645a_9_18_PTO_4_3"/>
      <sheetName val="645a_9-18_PTO_4_31"/>
      <sheetName val="645a_9_18_PTO_4_31"/>
      <sheetName val="645a_9-18_PTO_4_32"/>
      <sheetName val="645a_9_18_PTO_4_32"/>
      <sheetName val="Rev Commitment"/>
    </sheetNames>
    <sheetDataSet>
      <sheetData sheetId="0" refreshError="1"/>
      <sheetData sheetId="1" refreshError="1">
        <row r="1">
          <cell r="C1" t="str">
            <v>PIN#</v>
          </cell>
          <cell r="D1" t="str">
            <v>Program Description</v>
          </cell>
          <cell r="E1" t="str">
            <v>Job#1</v>
          </cell>
          <cell r="F1" t="str">
            <v>Manager</v>
          </cell>
          <cell r="G1" t="str">
            <v>Program Flags</v>
          </cell>
          <cell r="H1" t="str">
            <v>Cap Tools</v>
          </cell>
          <cell r="I1" t="str">
            <v>Cap Facils</v>
          </cell>
          <cell r="J1" t="str">
            <v>Total Cap</v>
          </cell>
          <cell r="K1" t="str">
            <v>Exp Tools</v>
          </cell>
          <cell r="L1" t="str">
            <v>Exp Facils</v>
          </cell>
          <cell r="M1" t="str">
            <v>Total Exp</v>
          </cell>
          <cell r="N1" t="str">
            <v>Launch</v>
          </cell>
          <cell r="O1" t="str">
            <v>Engineering</v>
          </cell>
          <cell r="P1" t="str">
            <v>TFLE</v>
          </cell>
          <cell r="Q1" t="str">
            <v>&lt;- 1999</v>
          </cell>
          <cell r="R1" t="str">
            <v>2000</v>
          </cell>
          <cell r="S1" t="str">
            <v>2001</v>
          </cell>
          <cell r="T1" t="str">
            <v>2002</v>
          </cell>
          <cell r="U1" t="str">
            <v>2003</v>
          </cell>
          <cell r="V1" t="str">
            <v>2004</v>
          </cell>
          <cell r="W1" t="str">
            <v>2005</v>
          </cell>
          <cell r="X1" t="str">
            <v>2006</v>
          </cell>
          <cell r="Y1" t="str">
            <v>2007</v>
          </cell>
          <cell r="Z1" t="str">
            <v>2008</v>
          </cell>
          <cell r="AA1" t="str">
            <v>2009</v>
          </cell>
          <cell r="AB1" t="str">
            <v>2010 -&gt;</v>
          </cell>
          <cell r="AC1" t="str">
            <v>2000-2005</v>
          </cell>
        </row>
        <row r="2">
          <cell r="C2" t="str">
            <v>93P53</v>
          </cell>
          <cell r="D2" t="str">
            <v>ROMEO EXP/ALUMINUM BLOCK</v>
          </cell>
          <cell r="E2">
            <v>33817</v>
          </cell>
          <cell r="F2" t="str">
            <v>PCHARLES</v>
          </cell>
          <cell r="G2" t="str">
            <v xml:space="preserve">  AS  T</v>
          </cell>
          <cell r="H2">
            <v>82.441000000000003</v>
          </cell>
          <cell r="I2">
            <v>100.523</v>
          </cell>
          <cell r="J2">
            <v>182.964</v>
          </cell>
          <cell r="K2" t="str">
            <v/>
          </cell>
          <cell r="L2">
            <v>1.7729999999999999</v>
          </cell>
          <cell r="M2">
            <v>1.7729999999999999</v>
          </cell>
          <cell r="N2">
            <v>10.9</v>
          </cell>
          <cell r="O2" t="str">
            <v/>
          </cell>
          <cell r="P2">
            <v>195.637</v>
          </cell>
          <cell r="Q2">
            <v>182.964</v>
          </cell>
          <cell r="R2" t="str">
            <v/>
          </cell>
          <cell r="S2" t="str">
            <v/>
          </cell>
          <cell r="T2" t="str">
            <v/>
          </cell>
          <cell r="U2" t="str">
            <v/>
          </cell>
          <cell r="V2" t="str">
            <v/>
          </cell>
          <cell r="W2" t="str">
            <v/>
          </cell>
          <cell r="X2" t="str">
            <v/>
          </cell>
          <cell r="Y2" t="str">
            <v/>
          </cell>
          <cell r="Z2" t="str">
            <v/>
          </cell>
          <cell r="AA2" t="str">
            <v/>
          </cell>
          <cell r="AB2" t="str">
            <v/>
          </cell>
          <cell r="AC2" t="str">
            <v/>
          </cell>
        </row>
        <row r="3">
          <cell r="C3" t="str">
            <v>94P05</v>
          </cell>
          <cell r="D3" t="str">
            <v>FFV PILOT</v>
          </cell>
          <cell r="E3">
            <v>34182</v>
          </cell>
          <cell r="F3" t="str">
            <v>DADDISON</v>
          </cell>
          <cell r="G3" t="str">
            <v>R AS  T</v>
          </cell>
          <cell r="H3">
            <v>0.27900000000000003</v>
          </cell>
          <cell r="I3" t="str">
            <v/>
          </cell>
          <cell r="J3">
            <v>0.27900000000000003</v>
          </cell>
          <cell r="K3">
            <v>2.1000000000000001E-2</v>
          </cell>
          <cell r="L3" t="str">
            <v/>
          </cell>
          <cell r="M3">
            <v>2.1000000000000001E-2</v>
          </cell>
          <cell r="N3" t="str">
            <v/>
          </cell>
          <cell r="O3" t="str">
            <v/>
          </cell>
          <cell r="P3">
            <v>0.3</v>
          </cell>
          <cell r="Q3">
            <v>0.27900000000000003</v>
          </cell>
          <cell r="R3" t="str">
            <v/>
          </cell>
          <cell r="S3" t="str">
            <v/>
          </cell>
          <cell r="T3" t="str">
            <v/>
          </cell>
          <cell r="U3" t="str">
            <v/>
          </cell>
          <cell r="V3" t="str">
            <v/>
          </cell>
          <cell r="W3" t="str">
            <v/>
          </cell>
          <cell r="X3" t="str">
            <v/>
          </cell>
          <cell r="Y3" t="str">
            <v/>
          </cell>
          <cell r="Z3" t="str">
            <v/>
          </cell>
          <cell r="AA3" t="str">
            <v/>
          </cell>
          <cell r="AB3" t="str">
            <v/>
          </cell>
          <cell r="AC3" t="str">
            <v/>
          </cell>
        </row>
        <row r="4">
          <cell r="C4" t="str">
            <v>94P51</v>
          </cell>
          <cell r="D4" t="str">
            <v>FUEL PRESSURE REG UPGRADE</v>
          </cell>
          <cell r="E4">
            <v>34182</v>
          </cell>
          <cell r="F4" t="str">
            <v>DADDISON</v>
          </cell>
          <cell r="G4" t="str">
            <v xml:space="preserve">  AS  T</v>
          </cell>
          <cell r="H4">
            <v>1.724</v>
          </cell>
          <cell r="I4">
            <v>3.7930000000000001</v>
          </cell>
          <cell r="J4">
            <v>5.5170000000000003</v>
          </cell>
          <cell r="K4">
            <v>0</v>
          </cell>
          <cell r="L4">
            <v>9.0999999999999998E-2</v>
          </cell>
          <cell r="M4">
            <v>9.0999999999999998E-2</v>
          </cell>
          <cell r="N4" t="str">
            <v/>
          </cell>
          <cell r="O4" t="str">
            <v/>
          </cell>
          <cell r="P4">
            <v>5.6079999999999997</v>
          </cell>
          <cell r="Q4">
            <v>5.5170000000000003</v>
          </cell>
          <cell r="R4" t="str">
            <v/>
          </cell>
          <cell r="S4" t="str">
            <v/>
          </cell>
          <cell r="T4" t="str">
            <v/>
          </cell>
          <cell r="U4" t="str">
            <v/>
          </cell>
          <cell r="V4" t="str">
            <v/>
          </cell>
          <cell r="W4" t="str">
            <v/>
          </cell>
          <cell r="X4" t="str">
            <v/>
          </cell>
          <cell r="Y4" t="str">
            <v/>
          </cell>
          <cell r="Z4" t="str">
            <v/>
          </cell>
          <cell r="AA4" t="str">
            <v/>
          </cell>
          <cell r="AB4" t="str">
            <v/>
          </cell>
          <cell r="AC4" t="str">
            <v/>
          </cell>
        </row>
        <row r="5">
          <cell r="C5" t="str">
            <v>94P53</v>
          </cell>
          <cell r="D5" t="str">
            <v>ROMEO EXP/ALUMINUM BLK</v>
          </cell>
          <cell r="E5">
            <v>34182</v>
          </cell>
          <cell r="F5" t="str">
            <v>PCHARLES</v>
          </cell>
          <cell r="G5" t="str">
            <v xml:space="preserve">  AS  T</v>
          </cell>
          <cell r="H5">
            <v>1.579</v>
          </cell>
          <cell r="I5">
            <v>5.2039999999999997</v>
          </cell>
          <cell r="J5">
            <v>6.7830000000000004</v>
          </cell>
          <cell r="K5" t="str">
            <v/>
          </cell>
          <cell r="L5">
            <v>0.52600000000000002</v>
          </cell>
          <cell r="M5">
            <v>0.52600000000000002</v>
          </cell>
          <cell r="N5" t="str">
            <v/>
          </cell>
          <cell r="O5" t="str">
            <v/>
          </cell>
          <cell r="P5">
            <v>7.3090000000000002</v>
          </cell>
          <cell r="Q5">
            <v>6.7830000000000004</v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</row>
        <row r="6">
          <cell r="C6" t="str">
            <v>94P85</v>
          </cell>
          <cell r="D6" t="str">
            <v>CD4E (550K)- Ford FAO Share</v>
          </cell>
          <cell r="E6">
            <v>34182</v>
          </cell>
          <cell r="F6" t="str">
            <v>TGOMRICK</v>
          </cell>
          <cell r="G6" t="str">
            <v xml:space="preserve">  AS  T</v>
          </cell>
          <cell r="H6">
            <v>142.70099999999999</v>
          </cell>
          <cell r="I6">
            <v>326.25099999999998</v>
          </cell>
          <cell r="J6">
            <v>468.952</v>
          </cell>
          <cell r="K6" t="str">
            <v/>
          </cell>
          <cell r="L6">
            <v>35.502000000000002</v>
          </cell>
          <cell r="M6">
            <v>35.502000000000002</v>
          </cell>
          <cell r="N6">
            <v>78.069999999999993</v>
          </cell>
          <cell r="O6" t="str">
            <v/>
          </cell>
          <cell r="P6">
            <v>582.524</v>
          </cell>
          <cell r="Q6">
            <v>468.952</v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</row>
        <row r="7">
          <cell r="C7" t="str">
            <v>94X28</v>
          </cell>
          <cell r="D7" t="str">
            <v>4R70W TRANSMISSION (AODE-W)</v>
          </cell>
          <cell r="E7">
            <v>34182</v>
          </cell>
          <cell r="F7" t="str">
            <v>JWHEELER</v>
          </cell>
          <cell r="G7" t="str">
            <v xml:space="preserve">  AS  T</v>
          </cell>
          <cell r="H7">
            <v>2.1360000000000001</v>
          </cell>
          <cell r="I7">
            <v>0.64800000000000002</v>
          </cell>
          <cell r="J7">
            <v>2.7839999999999998</v>
          </cell>
          <cell r="K7">
            <v>7.0000000000000007E-2</v>
          </cell>
          <cell r="L7">
            <v>0.12</v>
          </cell>
          <cell r="M7">
            <v>0.19</v>
          </cell>
          <cell r="N7" t="str">
            <v/>
          </cell>
          <cell r="O7" t="str">
            <v/>
          </cell>
          <cell r="P7">
            <v>2.9740000000000002</v>
          </cell>
          <cell r="Q7">
            <v>2.7839999999999998</v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</row>
        <row r="8">
          <cell r="C8" t="str">
            <v>94Y07</v>
          </cell>
          <cell r="D8" t="str">
            <v>TRUCK 5.8L CAFE</v>
          </cell>
          <cell r="E8">
            <v>34182</v>
          </cell>
          <cell r="F8" t="str">
            <v>RDESAI</v>
          </cell>
          <cell r="G8" t="str">
            <v>R AS  T</v>
          </cell>
          <cell r="H8">
            <v>7.1070000000000002</v>
          </cell>
          <cell r="I8">
            <v>12.978999999999999</v>
          </cell>
          <cell r="J8">
            <v>20.085999999999999</v>
          </cell>
          <cell r="K8">
            <v>5.5E-2</v>
          </cell>
          <cell r="L8">
            <v>1.244</v>
          </cell>
          <cell r="M8">
            <v>1.2989999999999999</v>
          </cell>
          <cell r="N8">
            <v>2</v>
          </cell>
          <cell r="O8" t="str">
            <v/>
          </cell>
          <cell r="P8">
            <v>23.385000000000002</v>
          </cell>
          <cell r="Q8">
            <v>20.085999999999999</v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</row>
        <row r="9">
          <cell r="C9" t="str">
            <v>94Y76</v>
          </cell>
          <cell r="D9" t="str">
            <v>4.9L FLEX FUEL</v>
          </cell>
          <cell r="E9">
            <v>34182</v>
          </cell>
          <cell r="F9" t="str">
            <v>RDESAI</v>
          </cell>
          <cell r="G9" t="str">
            <v>R AS  T</v>
          </cell>
          <cell r="H9">
            <v>0.48499999999999999</v>
          </cell>
          <cell r="I9" t="str">
            <v/>
          </cell>
          <cell r="J9">
            <v>0.48499999999999999</v>
          </cell>
          <cell r="K9">
            <v>2.1000000000000001E-2</v>
          </cell>
          <cell r="L9" t="str">
            <v/>
          </cell>
          <cell r="M9">
            <v>2.1000000000000001E-2</v>
          </cell>
          <cell r="N9" t="str">
            <v/>
          </cell>
          <cell r="O9" t="str">
            <v/>
          </cell>
          <cell r="P9">
            <v>0.50600000000000001</v>
          </cell>
          <cell r="Q9">
            <v>0.48499999999999999</v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</row>
        <row r="10">
          <cell r="C10" t="str">
            <v>94Y77</v>
          </cell>
          <cell r="D10" t="str">
            <v>5.8L ROLLER TAPPET</v>
          </cell>
          <cell r="E10">
            <v>34182</v>
          </cell>
          <cell r="F10" t="str">
            <v>RDESAI</v>
          </cell>
          <cell r="G10" t="str">
            <v xml:space="preserve">  AS  T</v>
          </cell>
          <cell r="H10">
            <v>7.625</v>
          </cell>
          <cell r="I10">
            <v>9.1950000000000003</v>
          </cell>
          <cell r="J10">
            <v>16.82</v>
          </cell>
          <cell r="K10" t="str">
            <v/>
          </cell>
          <cell r="L10">
            <v>0.46800000000000003</v>
          </cell>
          <cell r="M10">
            <v>0.46800000000000003</v>
          </cell>
          <cell r="N10">
            <v>1.6</v>
          </cell>
          <cell r="O10" t="str">
            <v/>
          </cell>
          <cell r="P10">
            <v>18.888000000000002</v>
          </cell>
          <cell r="Q10">
            <v>16.82</v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</row>
        <row r="11">
          <cell r="C11" t="str">
            <v>95N11</v>
          </cell>
          <cell r="D11" t="str">
            <v>CAA- SPECIFIC</v>
          </cell>
          <cell r="E11">
            <v>34547</v>
          </cell>
          <cell r="F11" t="str">
            <v>MDILS</v>
          </cell>
          <cell r="G11" t="str">
            <v>R AS  T</v>
          </cell>
          <cell r="H11">
            <v>9.657</v>
          </cell>
          <cell r="I11">
            <v>14.632</v>
          </cell>
          <cell r="J11">
            <v>24.289000000000001</v>
          </cell>
          <cell r="K11">
            <v>2.8000000000000001E-2</v>
          </cell>
          <cell r="L11">
            <v>0.125</v>
          </cell>
          <cell r="M11">
            <v>0.153</v>
          </cell>
          <cell r="N11">
            <v>0.99399999999999999</v>
          </cell>
          <cell r="O11" t="str">
            <v/>
          </cell>
          <cell r="P11">
            <v>25.436</v>
          </cell>
          <cell r="Q11">
            <v>24.289000000000001</v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/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/>
          </cell>
        </row>
        <row r="12">
          <cell r="C12" t="str">
            <v>95N12</v>
          </cell>
          <cell r="D12" t="str">
            <v>CAA- CROSS CARLINE</v>
          </cell>
          <cell r="E12">
            <v>34547</v>
          </cell>
          <cell r="F12" t="str">
            <v>MDILS</v>
          </cell>
          <cell r="G12" t="str">
            <v>R AS  T</v>
          </cell>
          <cell r="H12" t="str">
            <v/>
          </cell>
          <cell r="I12">
            <v>113.658</v>
          </cell>
          <cell r="J12">
            <v>113.658</v>
          </cell>
          <cell r="K12" t="str">
            <v/>
          </cell>
          <cell r="L12">
            <v>5.6669999999999998</v>
          </cell>
          <cell r="M12">
            <v>5.6669999999999998</v>
          </cell>
          <cell r="N12" t="str">
            <v/>
          </cell>
          <cell r="O12" t="str">
            <v/>
          </cell>
          <cell r="P12">
            <v>119.325</v>
          </cell>
          <cell r="Q12">
            <v>113.658</v>
          </cell>
          <cell r="R12" t="str">
            <v/>
          </cell>
          <cell r="S12" t="str">
            <v/>
          </cell>
          <cell r="T12" t="str">
            <v/>
          </cell>
          <cell r="U12" t="str">
            <v/>
          </cell>
          <cell r="V12" t="str">
            <v/>
          </cell>
          <cell r="W12" t="str">
            <v/>
          </cell>
          <cell r="X12" t="str">
            <v/>
          </cell>
          <cell r="Y12" t="str">
            <v/>
          </cell>
          <cell r="Z12" t="str">
            <v/>
          </cell>
          <cell r="AA12" t="str">
            <v/>
          </cell>
          <cell r="AB12" t="str">
            <v/>
          </cell>
          <cell r="AC12" t="str">
            <v/>
          </cell>
        </row>
        <row r="13">
          <cell r="C13" t="str">
            <v>95P15</v>
          </cell>
          <cell r="D13" t="str">
            <v>P/T COST REDUCTIONS</v>
          </cell>
          <cell r="E13">
            <v>34547</v>
          </cell>
          <cell r="F13" t="str">
            <v>DADDISON</v>
          </cell>
          <cell r="G13" t="str">
            <v xml:space="preserve">  AS  T</v>
          </cell>
          <cell r="H13" t="str">
            <v/>
          </cell>
          <cell r="I13" t="str">
            <v/>
          </cell>
          <cell r="J13" t="str">
            <v/>
          </cell>
          <cell r="K13">
            <v>0.5</v>
          </cell>
          <cell r="L13" t="str">
            <v/>
          </cell>
          <cell r="M13">
            <v>0.5</v>
          </cell>
          <cell r="N13" t="str">
            <v/>
          </cell>
          <cell r="O13" t="str">
            <v/>
          </cell>
          <cell r="P13">
            <v>0.5</v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  <cell r="Y13" t="str">
            <v/>
          </cell>
          <cell r="Z13" t="str">
            <v/>
          </cell>
          <cell r="AA13" t="str">
            <v/>
          </cell>
          <cell r="AB13" t="str">
            <v/>
          </cell>
          <cell r="AC13" t="str">
            <v/>
          </cell>
        </row>
        <row r="14">
          <cell r="C14" t="str">
            <v>95P50</v>
          </cell>
          <cell r="D14" t="str">
            <v>REP G-PRIME</v>
          </cell>
          <cell r="E14">
            <v>34547</v>
          </cell>
          <cell r="F14" t="str">
            <v>PCHARLES</v>
          </cell>
          <cell r="G14" t="str">
            <v xml:space="preserve">  AS  T</v>
          </cell>
          <cell r="H14">
            <v>0.85099999999999998</v>
          </cell>
          <cell r="I14">
            <v>2.8069999999999999</v>
          </cell>
          <cell r="J14">
            <v>3.6579999999999999</v>
          </cell>
          <cell r="K14" t="str">
            <v/>
          </cell>
          <cell r="L14">
            <v>0.48299999999999998</v>
          </cell>
          <cell r="M14">
            <v>0.48299999999999998</v>
          </cell>
          <cell r="N14" t="str">
            <v/>
          </cell>
          <cell r="O14" t="str">
            <v/>
          </cell>
          <cell r="P14">
            <v>4.141</v>
          </cell>
          <cell r="Q14">
            <v>3.6579999999999999</v>
          </cell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/>
          </cell>
          <cell r="AC14" t="str">
            <v/>
          </cell>
        </row>
        <row r="15">
          <cell r="C15" t="str">
            <v>95P51</v>
          </cell>
          <cell r="D15" t="str">
            <v>ROMEO BLOCK CAPACITY</v>
          </cell>
          <cell r="E15">
            <v>34608</v>
          </cell>
          <cell r="F15" t="str">
            <v>PCHARLES</v>
          </cell>
          <cell r="G15" t="str">
            <v xml:space="preserve">  AS CT</v>
          </cell>
          <cell r="H15">
            <v>1.726</v>
          </cell>
          <cell r="I15">
            <v>15.023999999999999</v>
          </cell>
          <cell r="J15">
            <v>16.75</v>
          </cell>
          <cell r="K15" t="str">
            <v/>
          </cell>
          <cell r="L15">
            <v>0.501</v>
          </cell>
          <cell r="M15">
            <v>0.501</v>
          </cell>
          <cell r="N15">
            <v>1.5</v>
          </cell>
          <cell r="O15" t="str">
            <v/>
          </cell>
          <cell r="P15">
            <v>18.751000000000001</v>
          </cell>
          <cell r="Q15">
            <v>16.75</v>
          </cell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/>
          </cell>
          <cell r="AC15" t="str">
            <v/>
          </cell>
        </row>
        <row r="16">
          <cell r="C16" t="str">
            <v>95P54</v>
          </cell>
          <cell r="D16" t="str">
            <v>HIGH VOL V6 (415K)</v>
          </cell>
          <cell r="E16">
            <v>34547</v>
          </cell>
          <cell r="F16" t="str">
            <v>JZABRISK</v>
          </cell>
          <cell r="G16" t="str">
            <v xml:space="preserve"> PAS CT</v>
          </cell>
          <cell r="H16">
            <v>202.54400000000001</v>
          </cell>
          <cell r="I16">
            <v>660.52300000000002</v>
          </cell>
          <cell r="J16">
            <v>863.06700000000001</v>
          </cell>
          <cell r="K16">
            <v>0.67</v>
          </cell>
          <cell r="L16">
            <v>34.613999999999997</v>
          </cell>
          <cell r="M16">
            <v>35.283999999999999</v>
          </cell>
          <cell r="N16">
            <v>104.08799999999999</v>
          </cell>
          <cell r="O16">
            <v>137</v>
          </cell>
          <cell r="P16">
            <v>1139.4390000000001</v>
          </cell>
          <cell r="Q16">
            <v>862.98500000000001</v>
          </cell>
          <cell r="R16">
            <v>8.2000000000000003E-2</v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  <cell r="Y16" t="str">
            <v/>
          </cell>
          <cell r="Z16" t="str">
            <v/>
          </cell>
          <cell r="AA16" t="str">
            <v/>
          </cell>
          <cell r="AB16" t="str">
            <v/>
          </cell>
          <cell r="AC16">
            <v>8.2000000000000003E-2</v>
          </cell>
        </row>
        <row r="17">
          <cell r="C17" t="str">
            <v>95P85</v>
          </cell>
          <cell r="D17" t="str">
            <v>4R70W CAPACITY.</v>
          </cell>
          <cell r="E17">
            <v>34547</v>
          </cell>
          <cell r="F17" t="str">
            <v>JWHEELER</v>
          </cell>
          <cell r="G17" t="str">
            <v xml:space="preserve">  AS CT</v>
          </cell>
          <cell r="H17">
            <v>4.133</v>
          </cell>
          <cell r="I17">
            <v>30.564</v>
          </cell>
          <cell r="J17">
            <v>34.697000000000003</v>
          </cell>
          <cell r="K17" t="str">
            <v/>
          </cell>
          <cell r="L17">
            <v>5.81</v>
          </cell>
          <cell r="M17">
            <v>5.81</v>
          </cell>
          <cell r="N17">
            <v>5</v>
          </cell>
          <cell r="O17" t="str">
            <v/>
          </cell>
          <cell r="P17">
            <v>45.506999999999998</v>
          </cell>
          <cell r="Q17">
            <v>34.697000000000003</v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  <cell r="Y17" t="str">
            <v/>
          </cell>
          <cell r="Z17" t="str">
            <v/>
          </cell>
          <cell r="AA17" t="str">
            <v/>
          </cell>
          <cell r="AB17" t="str">
            <v/>
          </cell>
          <cell r="AC17" t="str">
            <v/>
          </cell>
        </row>
        <row r="18">
          <cell r="C18" t="str">
            <v>95Q04</v>
          </cell>
          <cell r="D18" t="str">
            <v>95 AODE CAPACITY EXPANSION</v>
          </cell>
          <cell r="E18">
            <v>34547</v>
          </cell>
          <cell r="F18" t="str">
            <v>JWHEELER</v>
          </cell>
          <cell r="G18" t="str">
            <v xml:space="preserve">  AS CT</v>
          </cell>
          <cell r="H18">
            <v>11.816000000000001</v>
          </cell>
          <cell r="I18">
            <v>64.781999999999996</v>
          </cell>
          <cell r="J18">
            <v>76.597999999999999</v>
          </cell>
          <cell r="K18">
            <v>0</v>
          </cell>
          <cell r="L18">
            <v>7.181</v>
          </cell>
          <cell r="M18">
            <v>7.181</v>
          </cell>
          <cell r="N18">
            <v>8.6</v>
          </cell>
          <cell r="O18" t="str">
            <v/>
          </cell>
          <cell r="P18">
            <v>92.379000000000005</v>
          </cell>
          <cell r="Q18">
            <v>76.597999999999999</v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/>
          </cell>
          <cell r="AC18" t="str">
            <v/>
          </cell>
        </row>
        <row r="19">
          <cell r="C19" t="str">
            <v>95Y45</v>
          </cell>
          <cell r="D19" t="str">
            <v>CLEAN AIR - F/S</v>
          </cell>
          <cell r="E19">
            <v>34547</v>
          </cell>
          <cell r="F19" t="str">
            <v>MDILS</v>
          </cell>
          <cell r="G19" t="str">
            <v>R AS  T</v>
          </cell>
          <cell r="H19">
            <v>3.51</v>
          </cell>
          <cell r="I19">
            <v>0.48599999999999999</v>
          </cell>
          <cell r="J19">
            <v>3.996</v>
          </cell>
          <cell r="K19">
            <v>6.3E-2</v>
          </cell>
          <cell r="L19">
            <v>1.4E-2</v>
          </cell>
          <cell r="M19">
            <v>7.6999999999999999E-2</v>
          </cell>
          <cell r="N19">
            <v>0.31</v>
          </cell>
          <cell r="O19" t="str">
            <v/>
          </cell>
          <cell r="P19">
            <v>4.383</v>
          </cell>
          <cell r="Q19">
            <v>3.996</v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/>
          </cell>
          <cell r="AC19" t="str">
            <v/>
          </cell>
        </row>
        <row r="20">
          <cell r="C20" t="str">
            <v>96L25</v>
          </cell>
          <cell r="D20" t="str">
            <v>2.0L SPLIT PORT ENGINE</v>
          </cell>
          <cell r="E20">
            <v>35128</v>
          </cell>
          <cell r="F20" t="str">
            <v>RTETLER</v>
          </cell>
          <cell r="G20" t="str">
            <v xml:space="preserve"> PAS  T</v>
          </cell>
          <cell r="H20">
            <v>45.917999999999999</v>
          </cell>
          <cell r="I20">
            <v>29.622</v>
          </cell>
          <cell r="J20">
            <v>75.540000000000006</v>
          </cell>
          <cell r="K20">
            <v>0.46400000000000002</v>
          </cell>
          <cell r="L20">
            <v>1.901</v>
          </cell>
          <cell r="M20">
            <v>2.3650000000000002</v>
          </cell>
          <cell r="N20">
            <v>4.3179999999999996</v>
          </cell>
          <cell r="O20">
            <v>40.4</v>
          </cell>
          <cell r="P20">
            <v>122.623</v>
          </cell>
          <cell r="Q20">
            <v>75.540000000000006</v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/>
          </cell>
        </row>
        <row r="21">
          <cell r="C21" t="str">
            <v>96N01</v>
          </cell>
          <cell r="D21" t="str">
            <v>NMOG - SPECIFIC</v>
          </cell>
          <cell r="E21">
            <v>34912</v>
          </cell>
          <cell r="F21" t="str">
            <v>MDILS</v>
          </cell>
          <cell r="G21" t="str">
            <v>R AS  T</v>
          </cell>
          <cell r="H21">
            <v>4.5209999999999999</v>
          </cell>
          <cell r="I21">
            <v>5.0999999999999997E-2</v>
          </cell>
          <cell r="J21">
            <v>4.5720000000000001</v>
          </cell>
          <cell r="K21">
            <v>4.2000000000000003E-2</v>
          </cell>
          <cell r="L21">
            <v>4.4999999999999998E-2</v>
          </cell>
          <cell r="M21">
            <v>8.6999999999999994E-2</v>
          </cell>
          <cell r="N21" t="str">
            <v/>
          </cell>
          <cell r="O21" t="str">
            <v/>
          </cell>
          <cell r="P21">
            <v>4.6589999999999998</v>
          </cell>
          <cell r="Q21">
            <v>4.5720000000000001</v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</row>
        <row r="22">
          <cell r="C22" t="str">
            <v>96N11</v>
          </cell>
          <cell r="D22" t="str">
            <v>NMOG COMMITMENTS</v>
          </cell>
          <cell r="E22">
            <v>34912</v>
          </cell>
          <cell r="F22" t="str">
            <v>MDILS</v>
          </cell>
          <cell r="G22" t="str">
            <v>R AS  T</v>
          </cell>
          <cell r="H22">
            <v>2.431</v>
          </cell>
          <cell r="I22" t="str">
            <v/>
          </cell>
          <cell r="J22">
            <v>2.431</v>
          </cell>
          <cell r="K22">
            <v>7.0000000000000007E-2</v>
          </cell>
          <cell r="L22" t="str">
            <v/>
          </cell>
          <cell r="M22">
            <v>7.0000000000000007E-2</v>
          </cell>
          <cell r="N22" t="str">
            <v/>
          </cell>
          <cell r="O22" t="str">
            <v/>
          </cell>
          <cell r="P22">
            <v>2.5009999999999999</v>
          </cell>
          <cell r="Q22">
            <v>2.431</v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/>
          </cell>
          <cell r="AC22" t="str">
            <v/>
          </cell>
        </row>
        <row r="23">
          <cell r="C23" t="str">
            <v>96N12</v>
          </cell>
          <cell r="D23" t="str">
            <v>CAA</v>
          </cell>
          <cell r="E23">
            <v>34912</v>
          </cell>
          <cell r="F23" t="str">
            <v>MDILS</v>
          </cell>
          <cell r="G23" t="str">
            <v>R AS  T</v>
          </cell>
          <cell r="H23">
            <v>10.403</v>
          </cell>
          <cell r="I23">
            <v>23.367000000000001</v>
          </cell>
          <cell r="J23">
            <v>33.770000000000003</v>
          </cell>
          <cell r="K23">
            <v>5.6000000000000001E-2</v>
          </cell>
          <cell r="L23">
            <v>1.034</v>
          </cell>
          <cell r="M23">
            <v>1.0900000000000001</v>
          </cell>
          <cell r="N23" t="str">
            <v/>
          </cell>
          <cell r="O23" t="str">
            <v/>
          </cell>
          <cell r="P23">
            <v>34.86</v>
          </cell>
          <cell r="Q23">
            <v>33.770000000000003</v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  <cell r="Y23" t="str">
            <v/>
          </cell>
          <cell r="Z23" t="str">
            <v/>
          </cell>
          <cell r="AA23" t="str">
            <v/>
          </cell>
          <cell r="AB23" t="str">
            <v/>
          </cell>
          <cell r="AC23" t="str">
            <v/>
          </cell>
        </row>
        <row r="24">
          <cell r="C24" t="str">
            <v>96P15</v>
          </cell>
          <cell r="D24" t="str">
            <v>P/T COST REDUCTIONS</v>
          </cell>
          <cell r="E24">
            <v>34912</v>
          </cell>
          <cell r="F24" t="str">
            <v>DADDISON</v>
          </cell>
          <cell r="G24" t="str">
            <v xml:space="preserve">  AS  T</v>
          </cell>
          <cell r="H24">
            <v>1.768</v>
          </cell>
          <cell r="I24">
            <v>0.41799999999999998</v>
          </cell>
          <cell r="J24">
            <v>2.1859999999999999</v>
          </cell>
          <cell r="K24">
            <v>0.54900000000000004</v>
          </cell>
          <cell r="L24">
            <v>0.20699999999999999</v>
          </cell>
          <cell r="M24">
            <v>0.75600000000000001</v>
          </cell>
          <cell r="N24" t="str">
            <v/>
          </cell>
          <cell r="O24" t="str">
            <v/>
          </cell>
          <cell r="P24">
            <v>2.9420000000000002</v>
          </cell>
          <cell r="Q24">
            <v>2.1859999999999999</v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  <cell r="Y24" t="str">
            <v/>
          </cell>
          <cell r="Z24" t="str">
            <v/>
          </cell>
          <cell r="AA24" t="str">
            <v/>
          </cell>
          <cell r="AB24" t="str">
            <v/>
          </cell>
          <cell r="AC24" t="str">
            <v/>
          </cell>
        </row>
        <row r="25">
          <cell r="C25" t="str">
            <v>96P35</v>
          </cell>
          <cell r="D25" t="str">
            <v>MPIF--POWERTRAIN</v>
          </cell>
          <cell r="E25">
            <v>34912</v>
          </cell>
          <cell r="F25" t="str">
            <v>DADDISON</v>
          </cell>
          <cell r="G25" t="str">
            <v xml:space="preserve">  AS  T</v>
          </cell>
          <cell r="H25">
            <v>1.472</v>
          </cell>
          <cell r="I25" t="str">
            <v/>
          </cell>
          <cell r="J25">
            <v>1.472</v>
          </cell>
          <cell r="K25">
            <v>0.15</v>
          </cell>
          <cell r="L25">
            <v>-1.96</v>
          </cell>
          <cell r="M25">
            <v>-1.81</v>
          </cell>
          <cell r="N25" t="str">
            <v/>
          </cell>
          <cell r="O25" t="str">
            <v/>
          </cell>
          <cell r="P25">
            <v>-0.33800000000000002</v>
          </cell>
          <cell r="Q25">
            <v>1.472</v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  <cell r="Y25" t="str">
            <v/>
          </cell>
          <cell r="Z25" t="str">
            <v/>
          </cell>
          <cell r="AA25" t="str">
            <v/>
          </cell>
          <cell r="AB25" t="str">
            <v/>
          </cell>
          <cell r="AC25" t="str">
            <v/>
          </cell>
        </row>
        <row r="26">
          <cell r="C26" t="str">
            <v>96P46</v>
          </cell>
          <cell r="D26" t="str">
            <v>COIL PER PLUG--CAR</v>
          </cell>
          <cell r="E26">
            <v>34912</v>
          </cell>
          <cell r="F26" t="str">
            <v>PCHARLES</v>
          </cell>
          <cell r="G26" t="str">
            <v xml:space="preserve">  AS  T</v>
          </cell>
          <cell r="H26">
            <v>7.4320000000000004</v>
          </cell>
          <cell r="I26">
            <v>5.3319999999999999</v>
          </cell>
          <cell r="J26">
            <v>12.763999999999999</v>
          </cell>
          <cell r="K26" t="str">
            <v/>
          </cell>
          <cell r="L26">
            <v>2.5920000000000001</v>
          </cell>
          <cell r="M26">
            <v>2.5920000000000001</v>
          </cell>
          <cell r="N26" t="str">
            <v/>
          </cell>
          <cell r="O26" t="str">
            <v/>
          </cell>
          <cell r="P26">
            <v>15.356</v>
          </cell>
          <cell r="Q26">
            <v>12.763999999999999</v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  <cell r="Y26" t="str">
            <v/>
          </cell>
          <cell r="Z26" t="str">
            <v/>
          </cell>
          <cell r="AA26" t="str">
            <v/>
          </cell>
          <cell r="AB26" t="str">
            <v/>
          </cell>
          <cell r="AC26" t="str">
            <v/>
          </cell>
        </row>
        <row r="27">
          <cell r="C27" t="str">
            <v>96P48</v>
          </cell>
          <cell r="D27" t="str">
            <v>REP--NICHE ASSY LINE</v>
          </cell>
          <cell r="E27">
            <v>34912</v>
          </cell>
          <cell r="F27" t="str">
            <v>PCHARLES</v>
          </cell>
          <cell r="G27" t="str">
            <v xml:space="preserve">  AS  T</v>
          </cell>
          <cell r="H27">
            <v>0.377</v>
          </cell>
          <cell r="I27">
            <v>2.1150000000000002</v>
          </cell>
          <cell r="J27">
            <v>2.492</v>
          </cell>
          <cell r="K27" t="str">
            <v/>
          </cell>
          <cell r="L27">
            <v>0.318</v>
          </cell>
          <cell r="M27">
            <v>0.318</v>
          </cell>
          <cell r="N27" t="str">
            <v/>
          </cell>
          <cell r="O27" t="str">
            <v/>
          </cell>
          <cell r="P27">
            <v>2.81</v>
          </cell>
          <cell r="Q27">
            <v>2.492</v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  <cell r="Y27" t="str">
            <v/>
          </cell>
          <cell r="Z27" t="str">
            <v/>
          </cell>
          <cell r="AA27" t="str">
            <v/>
          </cell>
          <cell r="AB27" t="str">
            <v/>
          </cell>
          <cell r="AC27" t="str">
            <v/>
          </cell>
        </row>
        <row r="28">
          <cell r="C28" t="str">
            <v>96P56</v>
          </cell>
          <cell r="D28" t="str">
            <v>COMPOSITE INTAKE MANIFOLD</v>
          </cell>
          <cell r="E28">
            <v>34912</v>
          </cell>
          <cell r="F28" t="str">
            <v>PCHARLES</v>
          </cell>
          <cell r="G28" t="str">
            <v xml:space="preserve">  AS  T</v>
          </cell>
          <cell r="H28">
            <v>8.4719999999999995</v>
          </cell>
          <cell r="I28" t="str">
            <v/>
          </cell>
          <cell r="J28">
            <v>8.4719999999999995</v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>
            <v>8.4719999999999995</v>
          </cell>
          <cell r="Q28">
            <v>8.4719999999999995</v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  <cell r="AB28" t="str">
            <v/>
          </cell>
          <cell r="AC28" t="str">
            <v/>
          </cell>
        </row>
        <row r="29">
          <cell r="C29" t="str">
            <v>96P80</v>
          </cell>
          <cell r="D29" t="str">
            <v>AX4N Capacity</v>
          </cell>
          <cell r="E29">
            <v>34912</v>
          </cell>
          <cell r="F29" t="str">
            <v>TGOMRICK</v>
          </cell>
          <cell r="G29" t="str">
            <v xml:space="preserve"> PAS CT</v>
          </cell>
          <cell r="H29">
            <v>3.214</v>
          </cell>
          <cell r="I29">
            <v>40.923999999999999</v>
          </cell>
          <cell r="J29">
            <v>44.137999999999998</v>
          </cell>
          <cell r="K29" t="str">
            <v/>
          </cell>
          <cell r="L29">
            <v>7.7750000000000004</v>
          </cell>
          <cell r="M29">
            <v>7.7750000000000004</v>
          </cell>
          <cell r="N29" t="str">
            <v/>
          </cell>
          <cell r="O29" t="str">
            <v/>
          </cell>
          <cell r="P29">
            <v>51.912999999999997</v>
          </cell>
          <cell r="Q29">
            <v>44.137999999999998</v>
          </cell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  <cell r="Y29" t="str">
            <v/>
          </cell>
          <cell r="Z29" t="str">
            <v/>
          </cell>
          <cell r="AA29" t="str">
            <v/>
          </cell>
          <cell r="AB29" t="str">
            <v/>
          </cell>
          <cell r="AC29" t="str">
            <v/>
          </cell>
        </row>
        <row r="30">
          <cell r="C30" t="str">
            <v>96P85</v>
          </cell>
          <cell r="D30" t="str">
            <v>CD4E (CARRYOVER)</v>
          </cell>
          <cell r="E30">
            <v>34912</v>
          </cell>
          <cell r="F30" t="str">
            <v>TGOMRICK</v>
          </cell>
          <cell r="G30" t="str">
            <v xml:space="preserve">  AS  T</v>
          </cell>
          <cell r="H30">
            <v>4.383</v>
          </cell>
          <cell r="I30">
            <v>12.182</v>
          </cell>
          <cell r="J30">
            <v>16.565000000000001</v>
          </cell>
          <cell r="K30">
            <v>0.111</v>
          </cell>
          <cell r="L30">
            <v>1.9590000000000001</v>
          </cell>
          <cell r="M30">
            <v>2.0699999999999998</v>
          </cell>
          <cell r="N30" t="str">
            <v/>
          </cell>
          <cell r="O30" t="str">
            <v/>
          </cell>
          <cell r="P30">
            <v>18.635000000000002</v>
          </cell>
          <cell r="Q30">
            <v>16.565000000000001</v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  <cell r="AB30" t="str">
            <v/>
          </cell>
          <cell r="AC30" t="str">
            <v/>
          </cell>
        </row>
        <row r="31">
          <cell r="C31" t="str">
            <v>96P87</v>
          </cell>
          <cell r="D31" t="str">
            <v>4R70W CAPACITY (CARRYOVER)</v>
          </cell>
          <cell r="E31">
            <v>34912</v>
          </cell>
          <cell r="F31" t="str">
            <v>JWHEELER</v>
          </cell>
          <cell r="G31" t="str">
            <v xml:space="preserve">  AS CT</v>
          </cell>
          <cell r="H31">
            <v>0.24</v>
          </cell>
          <cell r="I31" t="str">
            <v/>
          </cell>
          <cell r="J31">
            <v>0.24</v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>
            <v>0.24</v>
          </cell>
          <cell r="Q31">
            <v>0.24</v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  <cell r="AB31" t="str">
            <v/>
          </cell>
          <cell r="AC31" t="str">
            <v/>
          </cell>
        </row>
        <row r="32">
          <cell r="C32" t="str">
            <v>96S03</v>
          </cell>
          <cell r="D32" t="str">
            <v>96 EC  EMISSIONS (Stage 2)</v>
          </cell>
          <cell r="E32">
            <v>34912</v>
          </cell>
          <cell r="F32" t="str">
            <v>ABARRET1</v>
          </cell>
          <cell r="G32" t="str">
            <v>R AS  T</v>
          </cell>
          <cell r="H32">
            <v>9.2149999999999999</v>
          </cell>
          <cell r="I32">
            <v>37.06</v>
          </cell>
          <cell r="J32">
            <v>46.274999999999999</v>
          </cell>
          <cell r="K32">
            <v>0.28499999999999998</v>
          </cell>
          <cell r="L32">
            <v>6.54</v>
          </cell>
          <cell r="M32">
            <v>6.8250000000000002</v>
          </cell>
          <cell r="N32">
            <v>24</v>
          </cell>
          <cell r="O32">
            <v>302</v>
          </cell>
          <cell r="P32">
            <v>379.1</v>
          </cell>
          <cell r="Q32">
            <v>46.274999999999999</v>
          </cell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  <cell r="Y32" t="str">
            <v/>
          </cell>
          <cell r="Z32" t="str">
            <v/>
          </cell>
          <cell r="AA32" t="str">
            <v/>
          </cell>
          <cell r="AB32" t="str">
            <v/>
          </cell>
          <cell r="AC32" t="str">
            <v/>
          </cell>
        </row>
        <row r="33">
          <cell r="C33" t="str">
            <v>96Y32</v>
          </cell>
          <cell r="D33" t="str">
            <v>ESSEX DUAL INDUCTION</v>
          </cell>
          <cell r="E33">
            <v>34912</v>
          </cell>
          <cell r="F33" t="str">
            <v>RDESAI</v>
          </cell>
          <cell r="G33" t="str">
            <v xml:space="preserve"> PAS  T</v>
          </cell>
          <cell r="H33">
            <v>93.135999999999996</v>
          </cell>
          <cell r="I33">
            <v>144.19300000000001</v>
          </cell>
          <cell r="J33">
            <v>237.32900000000001</v>
          </cell>
          <cell r="K33">
            <v>1.49</v>
          </cell>
          <cell r="L33">
            <v>9.0519999999999996</v>
          </cell>
          <cell r="M33">
            <v>10.542</v>
          </cell>
          <cell r="N33">
            <v>27.55</v>
          </cell>
          <cell r="O33">
            <v>70</v>
          </cell>
          <cell r="P33">
            <v>345.42099999999999</v>
          </cell>
          <cell r="Q33">
            <v>237.30600000000001</v>
          </cell>
          <cell r="R33">
            <v>2.3E-2</v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  <cell r="Y33" t="str">
            <v/>
          </cell>
          <cell r="Z33" t="str">
            <v/>
          </cell>
          <cell r="AA33" t="str">
            <v/>
          </cell>
          <cell r="AB33" t="str">
            <v/>
          </cell>
          <cell r="AC33">
            <v>2.3E-2</v>
          </cell>
        </row>
        <row r="34">
          <cell r="C34" t="str">
            <v>96Y44</v>
          </cell>
          <cell r="D34" t="str">
            <v>4.6L/5.4L/6.8L CAPACITY</v>
          </cell>
          <cell r="E34">
            <v>34912</v>
          </cell>
          <cell r="F34" t="str">
            <v>DHAMMON8</v>
          </cell>
          <cell r="G34" t="str">
            <v xml:space="preserve"> PAS CT</v>
          </cell>
          <cell r="H34">
            <v>291.59800000000001</v>
          </cell>
          <cell r="I34">
            <v>838.596</v>
          </cell>
          <cell r="J34">
            <v>1130.194</v>
          </cell>
          <cell r="K34">
            <v>1.675</v>
          </cell>
          <cell r="L34">
            <v>24.484000000000002</v>
          </cell>
          <cell r="M34">
            <v>26.158999999999999</v>
          </cell>
          <cell r="N34">
            <v>110.6</v>
          </cell>
          <cell r="O34">
            <v>106.6</v>
          </cell>
          <cell r="P34">
            <v>1373.5530000000001</v>
          </cell>
          <cell r="Q34">
            <v>1129.9090000000001</v>
          </cell>
          <cell r="R34">
            <v>0.28499999999999998</v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  <cell r="Y34" t="str">
            <v/>
          </cell>
          <cell r="Z34" t="str">
            <v/>
          </cell>
          <cell r="AA34" t="str">
            <v/>
          </cell>
          <cell r="AB34" t="str">
            <v/>
          </cell>
          <cell r="AC34">
            <v>0.28499999999999998</v>
          </cell>
        </row>
        <row r="35">
          <cell r="C35" t="str">
            <v>96Y45</v>
          </cell>
          <cell r="D35" t="str">
            <v>CLEAN AIR - F/S</v>
          </cell>
          <cell r="E35">
            <v>34912</v>
          </cell>
          <cell r="F35" t="str">
            <v>MDILS</v>
          </cell>
          <cell r="G35" t="str">
            <v>R AS  T</v>
          </cell>
          <cell r="H35">
            <v>23.135000000000002</v>
          </cell>
          <cell r="I35">
            <v>8.8889999999999993</v>
          </cell>
          <cell r="J35">
            <v>32.024000000000001</v>
          </cell>
          <cell r="K35">
            <v>0.55700000000000005</v>
          </cell>
          <cell r="L35">
            <v>0.999</v>
          </cell>
          <cell r="M35">
            <v>1.556</v>
          </cell>
          <cell r="N35">
            <v>5.8380000000000001</v>
          </cell>
          <cell r="O35">
            <v>55.1</v>
          </cell>
          <cell r="P35">
            <v>94.518000000000001</v>
          </cell>
          <cell r="Q35">
            <v>32.024000000000001</v>
          </cell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  <cell r="Y35" t="str">
            <v/>
          </cell>
          <cell r="Z35" t="str">
            <v/>
          </cell>
          <cell r="AA35" t="str">
            <v/>
          </cell>
          <cell r="AB35" t="str">
            <v/>
          </cell>
          <cell r="AC35" t="str">
            <v/>
          </cell>
        </row>
        <row r="36">
          <cell r="C36" t="str">
            <v>97O54</v>
          </cell>
          <cell r="D36" t="str">
            <v>5.4L AXLE SIZE INCREASE</v>
          </cell>
          <cell r="E36">
            <v>35278</v>
          </cell>
          <cell r="F36" t="str">
            <v>WSEREMAK</v>
          </cell>
          <cell r="G36" t="str">
            <v xml:space="preserve">  AS  T</v>
          </cell>
          <cell r="H36">
            <v>15.52</v>
          </cell>
          <cell r="I36">
            <v>9.6989999999999998</v>
          </cell>
          <cell r="J36">
            <v>25.219000000000001</v>
          </cell>
          <cell r="K36" t="str">
            <v/>
          </cell>
          <cell r="L36">
            <v>1.4</v>
          </cell>
          <cell r="M36">
            <v>1.4</v>
          </cell>
          <cell r="N36" t="str">
            <v/>
          </cell>
          <cell r="O36" t="str">
            <v/>
          </cell>
          <cell r="P36">
            <v>26.619</v>
          </cell>
          <cell r="Q36">
            <v>25.219000000000001</v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  <cell r="Y36" t="str">
            <v/>
          </cell>
          <cell r="Z36" t="str">
            <v/>
          </cell>
          <cell r="AA36" t="str">
            <v/>
          </cell>
          <cell r="AB36" t="str">
            <v/>
          </cell>
          <cell r="AC36" t="str">
            <v/>
          </cell>
        </row>
        <row r="37">
          <cell r="C37" t="str">
            <v>97P09</v>
          </cell>
          <cell r="D37" t="str">
            <v>CAA - - CROSS VEHICLE</v>
          </cell>
          <cell r="E37">
            <v>35278</v>
          </cell>
          <cell r="F37" t="str">
            <v>MDILS</v>
          </cell>
          <cell r="G37" t="str">
            <v>R AS  T</v>
          </cell>
          <cell r="H37">
            <v>0.86099999999999999</v>
          </cell>
          <cell r="I37">
            <v>42.134</v>
          </cell>
          <cell r="J37">
            <v>42.994999999999997</v>
          </cell>
          <cell r="K37" t="str">
            <v/>
          </cell>
          <cell r="L37">
            <v>0.94799999999999995</v>
          </cell>
          <cell r="M37">
            <v>0.94799999999999995</v>
          </cell>
          <cell r="N37" t="str">
            <v/>
          </cell>
          <cell r="O37" t="str">
            <v/>
          </cell>
          <cell r="P37">
            <v>43.942999999999998</v>
          </cell>
          <cell r="Q37">
            <v>42.448</v>
          </cell>
          <cell r="R37">
            <v>0.54700000000000004</v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  <cell r="Y37" t="str">
            <v/>
          </cell>
          <cell r="Z37" t="str">
            <v/>
          </cell>
          <cell r="AA37" t="str">
            <v/>
          </cell>
          <cell r="AB37" t="str">
            <v/>
          </cell>
          <cell r="AC37">
            <v>0.54700000000000004</v>
          </cell>
        </row>
        <row r="38">
          <cell r="C38" t="str">
            <v>97P15</v>
          </cell>
          <cell r="D38" t="str">
            <v>P/T COST REDUCTIONS</v>
          </cell>
          <cell r="E38">
            <v>35278</v>
          </cell>
          <cell r="F38" t="str">
            <v>DADDISON</v>
          </cell>
          <cell r="G38" t="str">
            <v xml:space="preserve">  AS  T</v>
          </cell>
          <cell r="H38">
            <v>3.903</v>
          </cell>
          <cell r="I38">
            <v>1.131</v>
          </cell>
          <cell r="J38">
            <v>5.0339999999999998</v>
          </cell>
          <cell r="K38">
            <v>0.44700000000000001</v>
          </cell>
          <cell r="L38">
            <v>0.14799999999999999</v>
          </cell>
          <cell r="M38">
            <v>0.59499999999999997</v>
          </cell>
          <cell r="N38">
            <v>1.7999999999999999E-2</v>
          </cell>
          <cell r="O38" t="str">
            <v/>
          </cell>
          <cell r="P38">
            <v>5.6470000000000002</v>
          </cell>
          <cell r="Q38">
            <v>5.0119999999999996</v>
          </cell>
          <cell r="R38">
            <v>2.1999999999999999E-2</v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  <cell r="Y38" t="str">
            <v/>
          </cell>
          <cell r="Z38" t="str">
            <v/>
          </cell>
          <cell r="AA38" t="str">
            <v/>
          </cell>
          <cell r="AB38" t="str">
            <v/>
          </cell>
          <cell r="AC38">
            <v>2.1999999999999999E-2</v>
          </cell>
        </row>
        <row r="39">
          <cell r="C39" t="str">
            <v>97P28</v>
          </cell>
          <cell r="D39" t="str">
            <v>POWERTRAIN</v>
          </cell>
          <cell r="E39">
            <v>35278</v>
          </cell>
          <cell r="F39" t="str">
            <v>TOOLING</v>
          </cell>
          <cell r="G39" t="str">
            <v xml:space="preserve">  AS  T</v>
          </cell>
          <cell r="H39">
            <v>0</v>
          </cell>
          <cell r="I39" t="str">
            <v/>
          </cell>
          <cell r="J39">
            <v>0</v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>
            <v>0</v>
          </cell>
          <cell r="Q39" t="str">
            <v/>
          </cell>
          <cell r="R39">
            <v>0</v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  <cell r="Y39" t="str">
            <v/>
          </cell>
          <cell r="Z39" t="str">
            <v/>
          </cell>
          <cell r="AA39" t="str">
            <v/>
          </cell>
          <cell r="AB39" t="str">
            <v/>
          </cell>
          <cell r="AC39">
            <v>0</v>
          </cell>
        </row>
        <row r="40">
          <cell r="C40" t="str">
            <v>97P35</v>
          </cell>
          <cell r="D40" t="str">
            <v>Powertrain MPIF</v>
          </cell>
          <cell r="E40">
            <v>35309</v>
          </cell>
          <cell r="F40" t="str">
            <v>DADDISON</v>
          </cell>
          <cell r="G40" t="str">
            <v xml:space="preserve">  AS  T</v>
          </cell>
          <cell r="H40">
            <v>-0.28699999999999998</v>
          </cell>
          <cell r="I40">
            <v>0.51400000000000001</v>
          </cell>
          <cell r="J40">
            <v>0.22700000000000001</v>
          </cell>
          <cell r="K40">
            <v>0.29199999999999998</v>
          </cell>
          <cell r="L40">
            <v>0.191</v>
          </cell>
          <cell r="M40">
            <v>0.48299999999999998</v>
          </cell>
          <cell r="N40" t="str">
            <v/>
          </cell>
          <cell r="O40" t="str">
            <v/>
          </cell>
          <cell r="P40">
            <v>0.71</v>
          </cell>
          <cell r="Q40">
            <v>0.22700000000000001</v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  <cell r="Y40" t="str">
            <v/>
          </cell>
          <cell r="Z40" t="str">
            <v/>
          </cell>
          <cell r="AA40" t="str">
            <v/>
          </cell>
          <cell r="AB40" t="str">
            <v/>
          </cell>
          <cell r="AC40" t="str">
            <v/>
          </cell>
        </row>
        <row r="41">
          <cell r="C41" t="str">
            <v>97P43</v>
          </cell>
          <cell r="D41" t="str">
            <v>4.6/5.4/6.8L 1997 Launch</v>
          </cell>
          <cell r="E41">
            <v>35339</v>
          </cell>
          <cell r="F41" t="str">
            <v>DHAMMON8</v>
          </cell>
          <cell r="G41" t="str">
            <v xml:space="preserve">  AS  T</v>
          </cell>
          <cell r="H41">
            <v>2.4769999999999999</v>
          </cell>
          <cell r="I41">
            <v>6.5259999999999998</v>
          </cell>
          <cell r="J41">
            <v>9.0030000000000001</v>
          </cell>
          <cell r="K41">
            <v>1.026</v>
          </cell>
          <cell r="L41">
            <v>0.30299999999999999</v>
          </cell>
          <cell r="M41">
            <v>1.329</v>
          </cell>
          <cell r="N41" t="str">
            <v/>
          </cell>
          <cell r="O41" t="str">
            <v/>
          </cell>
          <cell r="P41">
            <v>10.332000000000001</v>
          </cell>
          <cell r="Q41">
            <v>8.6660000000000004</v>
          </cell>
          <cell r="R41">
            <v>0.33700000000000002</v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  <cell r="Y41" t="str">
            <v/>
          </cell>
          <cell r="Z41" t="str">
            <v/>
          </cell>
          <cell r="AA41" t="str">
            <v/>
          </cell>
          <cell r="AB41" t="str">
            <v/>
          </cell>
          <cell r="AC41">
            <v>0.33700000000000002</v>
          </cell>
        </row>
        <row r="42">
          <cell r="C42" t="str">
            <v>97P44</v>
          </cell>
          <cell r="D42" t="str">
            <v>5.4L NGV</v>
          </cell>
          <cell r="E42">
            <v>35278</v>
          </cell>
          <cell r="F42" t="str">
            <v>JEPPERSO</v>
          </cell>
          <cell r="G42" t="str">
            <v xml:space="preserve">  AS  T</v>
          </cell>
          <cell r="H42">
            <v>9.4019999999999992</v>
          </cell>
          <cell r="I42">
            <v>4.835</v>
          </cell>
          <cell r="J42">
            <v>14.237</v>
          </cell>
          <cell r="K42">
            <v>0.36199999999999999</v>
          </cell>
          <cell r="L42">
            <v>0.30299999999999999</v>
          </cell>
          <cell r="M42">
            <v>0.66500000000000004</v>
          </cell>
          <cell r="N42">
            <v>0.86899999999999999</v>
          </cell>
          <cell r="O42" t="str">
            <v/>
          </cell>
          <cell r="P42">
            <v>15.771000000000001</v>
          </cell>
          <cell r="Q42">
            <v>14.222</v>
          </cell>
          <cell r="R42">
            <v>1.4999999999999999E-2</v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  <cell r="Y42" t="str">
            <v/>
          </cell>
          <cell r="Z42" t="str">
            <v/>
          </cell>
          <cell r="AA42" t="str">
            <v/>
          </cell>
          <cell r="AB42" t="str">
            <v/>
          </cell>
          <cell r="AC42">
            <v>1.4999999999999999E-2</v>
          </cell>
        </row>
        <row r="43">
          <cell r="C43" t="str">
            <v>97P54</v>
          </cell>
          <cell r="D43" t="str">
            <v>2.5/3.0L Cyl Hd - Src to NEMAK</v>
          </cell>
          <cell r="E43">
            <v>35527</v>
          </cell>
          <cell r="F43" t="str">
            <v>JZABRISK</v>
          </cell>
          <cell r="G43" t="str">
            <v xml:space="preserve">  AS  T</v>
          </cell>
          <cell r="H43">
            <v>9.1059999999999999</v>
          </cell>
          <cell r="I43">
            <v>8.7349999999999994</v>
          </cell>
          <cell r="J43">
            <v>17.841000000000001</v>
          </cell>
          <cell r="K43" t="str">
            <v/>
          </cell>
          <cell r="L43">
            <v>0.32600000000000001</v>
          </cell>
          <cell r="M43">
            <v>0.32600000000000001</v>
          </cell>
          <cell r="N43" t="str">
            <v/>
          </cell>
          <cell r="O43" t="str">
            <v/>
          </cell>
          <cell r="P43">
            <v>18.167000000000002</v>
          </cell>
          <cell r="Q43">
            <v>17.841000000000001</v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  <cell r="Y43" t="str">
            <v/>
          </cell>
          <cell r="Z43" t="str">
            <v/>
          </cell>
          <cell r="AA43" t="str">
            <v/>
          </cell>
          <cell r="AB43" t="str">
            <v/>
          </cell>
          <cell r="AC43" t="str">
            <v/>
          </cell>
        </row>
        <row r="44">
          <cell r="C44" t="str">
            <v>97Q86</v>
          </cell>
          <cell r="D44" t="str">
            <v>97.5 4R70W CAPACITY EXPANSION</v>
          </cell>
          <cell r="E44">
            <v>35431</v>
          </cell>
          <cell r="F44" t="str">
            <v>JWHEELER</v>
          </cell>
          <cell r="G44" t="str">
            <v xml:space="preserve"> PAS CT</v>
          </cell>
          <cell r="H44">
            <v>28.277000000000001</v>
          </cell>
          <cell r="I44">
            <v>102.971</v>
          </cell>
          <cell r="J44">
            <v>131.24799999999999</v>
          </cell>
          <cell r="K44" t="str">
            <v/>
          </cell>
          <cell r="L44">
            <v>6.8890000000000002</v>
          </cell>
          <cell r="M44">
            <v>6.8890000000000002</v>
          </cell>
          <cell r="N44">
            <v>11</v>
          </cell>
          <cell r="O44" t="str">
            <v/>
          </cell>
          <cell r="P44">
            <v>149.137</v>
          </cell>
          <cell r="Q44">
            <v>131.238</v>
          </cell>
          <cell r="R44">
            <v>0.01</v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  <cell r="Y44" t="str">
            <v/>
          </cell>
          <cell r="Z44" t="str">
            <v/>
          </cell>
          <cell r="AA44" t="str">
            <v/>
          </cell>
          <cell r="AB44" t="str">
            <v/>
          </cell>
          <cell r="AC44">
            <v>0.01</v>
          </cell>
        </row>
        <row r="45">
          <cell r="C45" t="str">
            <v>98P05</v>
          </cell>
          <cell r="D45" t="str">
            <v>CROSS VEHICLE EMISSIONS</v>
          </cell>
          <cell r="E45">
            <v>35643</v>
          </cell>
          <cell r="F45" t="str">
            <v>MDILS</v>
          </cell>
          <cell r="G45" t="str">
            <v>R  S  T</v>
          </cell>
          <cell r="H45" t="str">
            <v/>
          </cell>
          <cell r="I45">
            <v>0.04</v>
          </cell>
          <cell r="J45">
            <v>0.04</v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>
            <v>0.04</v>
          </cell>
          <cell r="Q45">
            <v>0.04</v>
          </cell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  <cell r="Y45" t="str">
            <v/>
          </cell>
          <cell r="Z45" t="str">
            <v/>
          </cell>
          <cell r="AA45" t="str">
            <v/>
          </cell>
          <cell r="AB45" t="str">
            <v/>
          </cell>
          <cell r="AC45" t="str">
            <v/>
          </cell>
        </row>
        <row r="46">
          <cell r="C46" t="str">
            <v>98P09</v>
          </cell>
          <cell r="D46" t="str">
            <v>CAA- CROSS VEHICLE</v>
          </cell>
          <cell r="E46">
            <v>35643</v>
          </cell>
          <cell r="F46" t="str">
            <v>MDILS</v>
          </cell>
          <cell r="G46" t="str">
            <v>R AS  T</v>
          </cell>
          <cell r="H46">
            <v>0.63300000000000001</v>
          </cell>
          <cell r="I46">
            <v>74.001999999999995</v>
          </cell>
          <cell r="J46">
            <v>74.635000000000005</v>
          </cell>
          <cell r="K46" t="str">
            <v/>
          </cell>
          <cell r="L46">
            <v>13.036</v>
          </cell>
          <cell r="M46">
            <v>13.036</v>
          </cell>
          <cell r="N46">
            <v>5</v>
          </cell>
          <cell r="O46" t="str">
            <v/>
          </cell>
          <cell r="P46">
            <v>92.671000000000006</v>
          </cell>
          <cell r="Q46">
            <v>74.534999999999997</v>
          </cell>
          <cell r="R46">
            <v>0.1</v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  <cell r="Y46" t="str">
            <v/>
          </cell>
          <cell r="Z46" t="str">
            <v/>
          </cell>
          <cell r="AA46" t="str">
            <v/>
          </cell>
          <cell r="AB46" t="str">
            <v/>
          </cell>
          <cell r="AC46">
            <v>0.1</v>
          </cell>
        </row>
        <row r="47">
          <cell r="C47" t="str">
            <v>98P15</v>
          </cell>
          <cell r="D47" t="str">
            <v>P/T COST REDUCTIONS</v>
          </cell>
          <cell r="E47">
            <v>35643</v>
          </cell>
          <cell r="F47" t="str">
            <v>DCHARLT2</v>
          </cell>
          <cell r="G47" t="str">
            <v>R AS  T</v>
          </cell>
          <cell r="H47">
            <v>5.3860000000000001</v>
          </cell>
          <cell r="I47">
            <v>0.94099999999999995</v>
          </cell>
          <cell r="J47">
            <v>6.327</v>
          </cell>
          <cell r="K47">
            <v>0.20599999999999999</v>
          </cell>
          <cell r="L47">
            <v>0.70699999999999996</v>
          </cell>
          <cell r="M47">
            <v>0.91300000000000003</v>
          </cell>
          <cell r="N47">
            <v>0.32100000000000001</v>
          </cell>
          <cell r="O47" t="str">
            <v/>
          </cell>
          <cell r="P47">
            <v>7.5609999999999999</v>
          </cell>
          <cell r="Q47">
            <v>6.3230000000000004</v>
          </cell>
          <cell r="R47">
            <v>4.0000000000000001E-3</v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  <cell r="Y47" t="str">
            <v/>
          </cell>
          <cell r="Z47" t="str">
            <v/>
          </cell>
          <cell r="AA47" t="str">
            <v/>
          </cell>
          <cell r="AB47" t="str">
            <v/>
          </cell>
          <cell r="AC47">
            <v>4.0000000000000001E-3</v>
          </cell>
        </row>
        <row r="48">
          <cell r="C48" t="str">
            <v>98P35</v>
          </cell>
          <cell r="D48" t="str">
            <v>MPIF--POWERTRAIN</v>
          </cell>
          <cell r="E48">
            <v>35643</v>
          </cell>
          <cell r="F48" t="str">
            <v>EBRUMO</v>
          </cell>
          <cell r="G48" t="str">
            <v xml:space="preserve">  AS  T</v>
          </cell>
          <cell r="H48">
            <v>0.56799999999999995</v>
          </cell>
          <cell r="I48" t="str">
            <v/>
          </cell>
          <cell r="J48">
            <v>0.56799999999999995</v>
          </cell>
          <cell r="K48">
            <v>0.20799999999999999</v>
          </cell>
          <cell r="L48">
            <v>1.6E-2</v>
          </cell>
          <cell r="M48">
            <v>0.224</v>
          </cell>
          <cell r="N48" t="str">
            <v/>
          </cell>
          <cell r="O48" t="str">
            <v/>
          </cell>
          <cell r="P48">
            <v>0.79200000000000004</v>
          </cell>
          <cell r="Q48">
            <v>0.56100000000000005</v>
          </cell>
          <cell r="R48">
            <v>7.0000000000000001E-3</v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  <cell r="Y48" t="str">
            <v/>
          </cell>
          <cell r="Z48" t="str">
            <v/>
          </cell>
          <cell r="AA48" t="str">
            <v/>
          </cell>
          <cell r="AB48" t="str">
            <v/>
          </cell>
          <cell r="AC48">
            <v>7.0000000000000001E-3</v>
          </cell>
        </row>
        <row r="49">
          <cell r="C49" t="str">
            <v>98P82</v>
          </cell>
          <cell r="D49" t="str">
            <v>98 AX4N/S NEEDLE BEARINGS (CAF</v>
          </cell>
          <cell r="E49">
            <v>35643</v>
          </cell>
          <cell r="F49" t="str">
            <v>JWHEELER</v>
          </cell>
          <cell r="G49" t="str">
            <v>R AS  T</v>
          </cell>
          <cell r="H49">
            <v>0.34799999999999998</v>
          </cell>
          <cell r="I49">
            <v>0.314</v>
          </cell>
          <cell r="J49">
            <v>0.66200000000000003</v>
          </cell>
          <cell r="K49" t="str">
            <v/>
          </cell>
          <cell r="L49">
            <v>0.223</v>
          </cell>
          <cell r="M49">
            <v>0.223</v>
          </cell>
          <cell r="N49" t="str">
            <v/>
          </cell>
          <cell r="O49" t="str">
            <v/>
          </cell>
          <cell r="P49">
            <v>0.88500000000000001</v>
          </cell>
          <cell r="Q49">
            <v>0.66200000000000003</v>
          </cell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  <cell r="Y49" t="str">
            <v/>
          </cell>
          <cell r="Z49" t="str">
            <v/>
          </cell>
          <cell r="AA49" t="str">
            <v/>
          </cell>
          <cell r="AB49" t="str">
            <v/>
          </cell>
          <cell r="AC49" t="str">
            <v/>
          </cell>
        </row>
        <row r="50">
          <cell r="C50" t="str">
            <v>98P85</v>
          </cell>
          <cell r="D50" t="str">
            <v>4R70W QUALITY UPGRADE</v>
          </cell>
          <cell r="E50">
            <v>35643</v>
          </cell>
          <cell r="F50" t="str">
            <v>JWHEELER</v>
          </cell>
          <cell r="G50" t="str">
            <v xml:space="preserve">  AS  T</v>
          </cell>
          <cell r="H50">
            <v>0.83099999999999996</v>
          </cell>
          <cell r="I50">
            <v>2.7069999999999999</v>
          </cell>
          <cell r="J50">
            <v>3.5379999999999998</v>
          </cell>
          <cell r="K50" t="str">
            <v/>
          </cell>
          <cell r="L50">
            <v>0.47</v>
          </cell>
          <cell r="M50">
            <v>0.47</v>
          </cell>
          <cell r="N50">
            <v>0.108</v>
          </cell>
          <cell r="O50" t="str">
            <v/>
          </cell>
          <cell r="P50">
            <v>4.1159999999999997</v>
          </cell>
          <cell r="Q50">
            <v>3.524</v>
          </cell>
          <cell r="R50">
            <v>1.4E-2</v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  <cell r="Y50" t="str">
            <v/>
          </cell>
          <cell r="Z50" t="str">
            <v/>
          </cell>
          <cell r="AA50" t="str">
            <v/>
          </cell>
          <cell r="AB50" t="str">
            <v/>
          </cell>
          <cell r="AC50">
            <v>1.4E-2</v>
          </cell>
        </row>
        <row r="51">
          <cell r="C51" t="str">
            <v>98P86</v>
          </cell>
          <cell r="D51" t="str">
            <v>E4OD GROB Clutch (CAFÉ)</v>
          </cell>
          <cell r="E51">
            <v>35646</v>
          </cell>
          <cell r="F51" t="str">
            <v>JWHEELER</v>
          </cell>
          <cell r="G51" t="str">
            <v>R AS  T</v>
          </cell>
          <cell r="H51">
            <v>2.95</v>
          </cell>
          <cell r="I51">
            <v>1.393</v>
          </cell>
          <cell r="J51">
            <v>4.343</v>
          </cell>
          <cell r="K51" t="str">
            <v/>
          </cell>
          <cell r="L51">
            <v>0.107</v>
          </cell>
          <cell r="M51">
            <v>0.107</v>
          </cell>
          <cell r="N51">
            <v>9.4E-2</v>
          </cell>
          <cell r="O51" t="str">
            <v/>
          </cell>
          <cell r="P51">
            <v>4.5439999999999996</v>
          </cell>
          <cell r="Q51">
            <v>4.34</v>
          </cell>
          <cell r="R51">
            <v>3.0000000000000001E-3</v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/>
          </cell>
          <cell r="AC51">
            <v>3.0000000000000001E-3</v>
          </cell>
        </row>
        <row r="52">
          <cell r="C52" t="str">
            <v>98Q06</v>
          </cell>
          <cell r="D52" t="str">
            <v>FOUNDRY</v>
          </cell>
          <cell r="E52">
            <v>35855</v>
          </cell>
          <cell r="F52" t="str">
            <v>RDENNIS4</v>
          </cell>
          <cell r="G52" t="str">
            <v xml:space="preserve">  AS  T</v>
          </cell>
          <cell r="H52" t="str">
            <v/>
          </cell>
          <cell r="I52" t="str">
            <v/>
          </cell>
          <cell r="J52" t="str">
            <v/>
          </cell>
          <cell r="K52">
            <v>0.43099999999999999</v>
          </cell>
          <cell r="L52" t="str">
            <v/>
          </cell>
          <cell r="M52">
            <v>0.43099999999999999</v>
          </cell>
          <cell r="N52" t="str">
            <v/>
          </cell>
          <cell r="O52" t="str">
            <v/>
          </cell>
          <cell r="P52">
            <v>0.43099999999999999</v>
          </cell>
          <cell r="Q52" t="str">
            <v/>
          </cell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  <cell r="Y52" t="str">
            <v/>
          </cell>
          <cell r="Z52" t="str">
            <v/>
          </cell>
          <cell r="AA52" t="str">
            <v/>
          </cell>
          <cell r="AB52" t="str">
            <v/>
          </cell>
          <cell r="AC52" t="str">
            <v/>
          </cell>
        </row>
        <row r="53">
          <cell r="C53" t="str">
            <v>99438</v>
          </cell>
          <cell r="D53" t="str">
            <v>1999 3.8L/4.2L IMPROVEMENTS</v>
          </cell>
          <cell r="E53">
            <v>36008</v>
          </cell>
          <cell r="F53" t="str">
            <v>EWRIGHT</v>
          </cell>
          <cell r="G53" t="str">
            <v xml:space="preserve"> PAS  T</v>
          </cell>
          <cell r="H53">
            <v>38.527999999999999</v>
          </cell>
          <cell r="I53">
            <v>11.324</v>
          </cell>
          <cell r="J53">
            <v>49.851999999999997</v>
          </cell>
          <cell r="K53" t="str">
            <v/>
          </cell>
          <cell r="L53">
            <v>4.6589999999999998</v>
          </cell>
          <cell r="M53">
            <v>4.6589999999999998</v>
          </cell>
          <cell r="N53">
            <v>6.6</v>
          </cell>
          <cell r="O53">
            <v>46.1</v>
          </cell>
          <cell r="P53">
            <v>107.211</v>
          </cell>
          <cell r="Q53">
            <v>49.448</v>
          </cell>
          <cell r="R53">
            <v>0.40400000000000003</v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  <cell r="Y53" t="str">
            <v/>
          </cell>
          <cell r="Z53" t="str">
            <v/>
          </cell>
          <cell r="AA53" t="str">
            <v/>
          </cell>
          <cell r="AB53" t="str">
            <v/>
          </cell>
          <cell r="AC53">
            <v>0.40400000000000003</v>
          </cell>
        </row>
        <row r="54">
          <cell r="C54" t="str">
            <v>99481</v>
          </cell>
          <cell r="D54" t="str">
            <v>AX4S UPGRADES</v>
          </cell>
          <cell r="E54">
            <v>36192</v>
          </cell>
          <cell r="F54" t="str">
            <v>JRYAN10</v>
          </cell>
          <cell r="G54" t="str">
            <v xml:space="preserve"> PAS  T</v>
          </cell>
          <cell r="H54">
            <v>1.8959999999999999</v>
          </cell>
          <cell r="I54">
            <v>2.544</v>
          </cell>
          <cell r="J54">
            <v>4.4400000000000004</v>
          </cell>
          <cell r="K54" t="str">
            <v/>
          </cell>
          <cell r="L54">
            <v>0.106</v>
          </cell>
          <cell r="M54">
            <v>0.106</v>
          </cell>
          <cell r="N54">
            <v>0.5</v>
          </cell>
          <cell r="O54">
            <v>1.3</v>
          </cell>
          <cell r="P54">
            <v>6.3460000000000001</v>
          </cell>
          <cell r="Q54">
            <v>3.9049999999999998</v>
          </cell>
          <cell r="R54">
            <v>0.53500000000000003</v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  <cell r="AB54" t="str">
            <v/>
          </cell>
          <cell r="AC54">
            <v>0.53500000000000003</v>
          </cell>
        </row>
        <row r="55">
          <cell r="C55" t="str">
            <v>99F56</v>
          </cell>
          <cell r="D55" t="str">
            <v>DEW98 3.9L V8</v>
          </cell>
          <cell r="E55">
            <v>36252</v>
          </cell>
          <cell r="F55" t="str">
            <v>GBECHARD</v>
          </cell>
          <cell r="G55" t="str">
            <v xml:space="preserve"> PASV T</v>
          </cell>
          <cell r="H55">
            <v>62.52</v>
          </cell>
          <cell r="I55">
            <v>136.31200000000001</v>
          </cell>
          <cell r="J55">
            <v>198.83199999999999</v>
          </cell>
          <cell r="K55" t="str">
            <v/>
          </cell>
          <cell r="L55">
            <v>7.3319999999999999</v>
          </cell>
          <cell r="M55">
            <v>7.3319999999999999</v>
          </cell>
          <cell r="N55">
            <v>23.5</v>
          </cell>
          <cell r="O55">
            <v>46</v>
          </cell>
          <cell r="P55">
            <v>275.66399999999999</v>
          </cell>
          <cell r="Q55">
            <v>194.846</v>
          </cell>
          <cell r="R55">
            <v>3.9860000000000002</v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  <cell r="Y55" t="str">
            <v/>
          </cell>
          <cell r="Z55" t="str">
            <v/>
          </cell>
          <cell r="AA55" t="str">
            <v/>
          </cell>
          <cell r="AB55" t="str">
            <v/>
          </cell>
          <cell r="AC55">
            <v>3.9860000000000002</v>
          </cell>
        </row>
        <row r="56">
          <cell r="C56" t="str">
            <v>99F81</v>
          </cell>
          <cell r="D56" t="str">
            <v>5R55N/W/4R70W-(F)  5R55N-(T)</v>
          </cell>
          <cell r="E56">
            <v>36241</v>
          </cell>
          <cell r="F56" t="str">
            <v>DLUKAS1</v>
          </cell>
          <cell r="G56" t="str">
            <v xml:space="preserve"> PAS  T</v>
          </cell>
          <cell r="H56">
            <v>51.61</v>
          </cell>
          <cell r="I56">
            <v>94.14</v>
          </cell>
          <cell r="J56">
            <v>145.75</v>
          </cell>
          <cell r="K56" t="str">
            <v/>
          </cell>
          <cell r="L56">
            <v>6.0949999999999998</v>
          </cell>
          <cell r="M56">
            <v>6.0949999999999998</v>
          </cell>
          <cell r="N56">
            <v>19.5</v>
          </cell>
          <cell r="O56">
            <v>106</v>
          </cell>
          <cell r="P56">
            <v>277.34500000000003</v>
          </cell>
          <cell r="Q56">
            <v>136.30699999999999</v>
          </cell>
          <cell r="R56">
            <v>9.4429999999999996</v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  <cell r="Y56" t="str">
            <v/>
          </cell>
          <cell r="Z56" t="str">
            <v/>
          </cell>
          <cell r="AA56" t="str">
            <v/>
          </cell>
          <cell r="AB56" t="str">
            <v/>
          </cell>
          <cell r="AC56">
            <v>9.4429999999999996</v>
          </cell>
        </row>
        <row r="57">
          <cell r="C57" t="str">
            <v>99P15</v>
          </cell>
          <cell r="D57" t="str">
            <v>Powertrain Cost Reductions</v>
          </cell>
          <cell r="E57">
            <v>36342</v>
          </cell>
          <cell r="F57" t="str">
            <v>DCHARLT2</v>
          </cell>
          <cell r="G57" t="str">
            <v xml:space="preserve">  AS  T</v>
          </cell>
          <cell r="H57">
            <v>15.897</v>
          </cell>
          <cell r="I57">
            <v>3.6080000000000001</v>
          </cell>
          <cell r="J57">
            <v>19.504999999999999</v>
          </cell>
          <cell r="K57" t="str">
            <v/>
          </cell>
          <cell r="L57">
            <v>1.0620000000000001</v>
          </cell>
          <cell r="M57">
            <v>1.0620000000000001</v>
          </cell>
          <cell r="N57">
            <v>0.02</v>
          </cell>
          <cell r="O57" t="str">
            <v/>
          </cell>
          <cell r="P57">
            <v>20.587</v>
          </cell>
          <cell r="Q57">
            <v>18.773</v>
          </cell>
          <cell r="R57">
            <v>0.73199999999999998</v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  <cell r="Y57" t="str">
            <v/>
          </cell>
          <cell r="Z57" t="str">
            <v/>
          </cell>
          <cell r="AA57" t="str">
            <v/>
          </cell>
          <cell r="AB57" t="str">
            <v/>
          </cell>
          <cell r="AC57">
            <v>0.73199999999999998</v>
          </cell>
        </row>
        <row r="58">
          <cell r="C58" t="str">
            <v>99P19</v>
          </cell>
          <cell r="D58" t="str">
            <v>5.4L 4V Cap In.(REP)-cyl he</v>
          </cell>
          <cell r="E58">
            <v>36342</v>
          </cell>
          <cell r="F58" t="str">
            <v>GLAVAUTE</v>
          </cell>
          <cell r="G58" t="str">
            <v xml:space="preserve">  AS  T</v>
          </cell>
          <cell r="H58">
            <v>0.02</v>
          </cell>
          <cell r="I58">
            <v>1.169</v>
          </cell>
          <cell r="J58">
            <v>1.1890000000000001</v>
          </cell>
          <cell r="K58" t="str">
            <v/>
          </cell>
          <cell r="L58">
            <v>0.13700000000000001</v>
          </cell>
          <cell r="M58">
            <v>0.13700000000000001</v>
          </cell>
          <cell r="N58">
            <v>0.3</v>
          </cell>
          <cell r="O58" t="str">
            <v/>
          </cell>
          <cell r="P58">
            <v>1.6259999999999999</v>
          </cell>
          <cell r="Q58">
            <v>0.23</v>
          </cell>
          <cell r="R58">
            <v>0.95899999999999996</v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  <cell r="Y58" t="str">
            <v/>
          </cell>
          <cell r="Z58" t="str">
            <v/>
          </cell>
          <cell r="AA58" t="str">
            <v/>
          </cell>
          <cell r="AB58" t="str">
            <v/>
          </cell>
          <cell r="AC58">
            <v>0.95899999999999996</v>
          </cell>
        </row>
        <row r="59">
          <cell r="C59" t="str">
            <v>99P20</v>
          </cell>
          <cell r="D59" t="str">
            <v>APO INJ. SENSOR - COST RED.</v>
          </cell>
          <cell r="E59">
            <v>36008</v>
          </cell>
          <cell r="F59" t="str">
            <v>MLOZOVOJ</v>
          </cell>
          <cell r="G59" t="str">
            <v xml:space="preserve">   S  T</v>
          </cell>
          <cell r="H59">
            <v>1.4139999999999999</v>
          </cell>
          <cell r="I59" t="str">
            <v/>
          </cell>
          <cell r="J59">
            <v>1.4139999999999999</v>
          </cell>
          <cell r="K59">
            <v>0.01</v>
          </cell>
          <cell r="L59" t="str">
            <v/>
          </cell>
          <cell r="M59">
            <v>0.01</v>
          </cell>
          <cell r="N59" t="str">
            <v/>
          </cell>
          <cell r="O59" t="str">
            <v/>
          </cell>
          <cell r="P59">
            <v>1.4239999999999999</v>
          </cell>
          <cell r="Q59">
            <v>1.4139999999999999</v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  <cell r="Y59" t="str">
            <v/>
          </cell>
          <cell r="Z59" t="str">
            <v/>
          </cell>
          <cell r="AA59" t="str">
            <v/>
          </cell>
          <cell r="AB59" t="str">
            <v/>
          </cell>
          <cell r="AC59" t="str">
            <v/>
          </cell>
        </row>
        <row r="60">
          <cell r="C60" t="str">
            <v>99P21</v>
          </cell>
          <cell r="D60" t="str">
            <v>V6 Capacity @ Cleveland</v>
          </cell>
          <cell r="E60">
            <v>36008</v>
          </cell>
          <cell r="F60" t="str">
            <v>VKRESS</v>
          </cell>
          <cell r="G60" t="str">
            <v xml:space="preserve">  AS CT</v>
          </cell>
          <cell r="H60">
            <v>4.3659999999999997</v>
          </cell>
          <cell r="I60" t="str">
            <v/>
          </cell>
          <cell r="J60">
            <v>4.3659999999999997</v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>
            <v>4.3659999999999997</v>
          </cell>
          <cell r="Q60">
            <v>4.3659999999999997</v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  <cell r="Y60" t="str">
            <v/>
          </cell>
          <cell r="Z60" t="str">
            <v/>
          </cell>
          <cell r="AA60" t="str">
            <v/>
          </cell>
          <cell r="AB60" t="str">
            <v/>
          </cell>
          <cell r="AC60" t="str">
            <v/>
          </cell>
        </row>
        <row r="61">
          <cell r="C61" t="str">
            <v>99P23</v>
          </cell>
          <cell r="D61" t="str">
            <v>ZETEC Improvements</v>
          </cell>
          <cell r="E61">
            <v>36342</v>
          </cell>
          <cell r="F61" t="str">
            <v>ABARRET1</v>
          </cell>
          <cell r="G61" t="str">
            <v xml:space="preserve"> PAS  T</v>
          </cell>
          <cell r="H61">
            <v>6.5090000000000003</v>
          </cell>
          <cell r="I61">
            <v>6.9370000000000003</v>
          </cell>
          <cell r="J61">
            <v>13.446</v>
          </cell>
          <cell r="K61">
            <v>2.1999999999999999E-2</v>
          </cell>
          <cell r="L61">
            <v>0.59199999999999997</v>
          </cell>
          <cell r="M61">
            <v>0.61399999999999999</v>
          </cell>
          <cell r="N61">
            <v>3</v>
          </cell>
          <cell r="O61">
            <v>62</v>
          </cell>
          <cell r="P61">
            <v>79.06</v>
          </cell>
          <cell r="Q61">
            <v>12.093</v>
          </cell>
          <cell r="R61">
            <v>1.353</v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  <cell r="Y61" t="str">
            <v/>
          </cell>
          <cell r="Z61" t="str">
            <v/>
          </cell>
          <cell r="AA61" t="str">
            <v/>
          </cell>
          <cell r="AB61" t="str">
            <v/>
          </cell>
          <cell r="AC61">
            <v>1.353</v>
          </cell>
        </row>
        <row r="62">
          <cell r="C62" t="str">
            <v>99P24</v>
          </cell>
          <cell r="D62" t="str">
            <v>ZETEC EMISSIONS</v>
          </cell>
          <cell r="E62">
            <v>36008</v>
          </cell>
          <cell r="F62" t="str">
            <v>MDILS</v>
          </cell>
          <cell r="G62" t="str">
            <v>R AS  T</v>
          </cell>
          <cell r="H62">
            <v>0.29299999999999998</v>
          </cell>
          <cell r="I62" t="str">
            <v/>
          </cell>
          <cell r="J62">
            <v>0.29299999999999998</v>
          </cell>
          <cell r="K62" t="str">
            <v/>
          </cell>
          <cell r="L62" t="str">
            <v/>
          </cell>
          <cell r="M62" t="str">
            <v/>
          </cell>
          <cell r="N62">
            <v>0.1</v>
          </cell>
          <cell r="O62">
            <v>1.1000000000000001</v>
          </cell>
          <cell r="P62">
            <v>1.4930000000000001</v>
          </cell>
          <cell r="Q62">
            <v>0.29299999999999998</v>
          </cell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  <cell r="Y62" t="str">
            <v/>
          </cell>
          <cell r="Z62" t="str">
            <v/>
          </cell>
          <cell r="AA62" t="str">
            <v/>
          </cell>
          <cell r="AB62" t="str">
            <v/>
          </cell>
          <cell r="AC62" t="str">
            <v/>
          </cell>
        </row>
        <row r="63">
          <cell r="C63" t="str">
            <v>99P45</v>
          </cell>
          <cell r="D63" t="str">
            <v>AX4S UPGRADE</v>
          </cell>
          <cell r="E63">
            <v>36342</v>
          </cell>
          <cell r="F63" t="str">
            <v>JRYAN10</v>
          </cell>
          <cell r="G63" t="str">
            <v xml:space="preserve"> PAS  T</v>
          </cell>
          <cell r="H63">
            <v>1.6779999999999999</v>
          </cell>
          <cell r="I63">
            <v>16.853000000000002</v>
          </cell>
          <cell r="J63">
            <v>18.530999999999999</v>
          </cell>
          <cell r="K63" t="str">
            <v/>
          </cell>
          <cell r="L63">
            <v>0.65900000000000003</v>
          </cell>
          <cell r="M63">
            <v>0.65900000000000003</v>
          </cell>
          <cell r="N63">
            <v>2</v>
          </cell>
          <cell r="O63">
            <v>4</v>
          </cell>
          <cell r="P63">
            <v>25.19</v>
          </cell>
          <cell r="Q63">
            <v>17.856999999999999</v>
          </cell>
          <cell r="R63">
            <v>0.67400000000000004</v>
          </cell>
          <cell r="S63" t="str">
            <v/>
          </cell>
          <cell r="T63" t="str">
            <v/>
          </cell>
          <cell r="U63" t="str">
            <v/>
          </cell>
          <cell r="V63" t="str">
            <v/>
          </cell>
          <cell r="W63" t="str">
            <v/>
          </cell>
          <cell r="X63" t="str">
            <v/>
          </cell>
          <cell r="Y63" t="str">
            <v/>
          </cell>
          <cell r="Z63" t="str">
            <v/>
          </cell>
          <cell r="AA63" t="str">
            <v/>
          </cell>
          <cell r="AB63" t="str">
            <v/>
          </cell>
          <cell r="AC63">
            <v>0.67400000000000004</v>
          </cell>
        </row>
        <row r="64">
          <cell r="C64" t="str">
            <v>99P50</v>
          </cell>
          <cell r="D64" t="str">
            <v>5.4/4.6L 2V MOD V8 PWR IMPRV</v>
          </cell>
          <cell r="E64">
            <v>36008</v>
          </cell>
          <cell r="F64" t="str">
            <v>GLAVAUTE</v>
          </cell>
          <cell r="G64" t="str">
            <v xml:space="preserve"> PAS  T</v>
          </cell>
          <cell r="H64">
            <v>28.867999999999999</v>
          </cell>
          <cell r="I64">
            <v>9.4949999999999992</v>
          </cell>
          <cell r="J64">
            <v>38.363</v>
          </cell>
          <cell r="K64" t="str">
            <v/>
          </cell>
          <cell r="L64">
            <v>2.2650000000000001</v>
          </cell>
          <cell r="M64">
            <v>2.2650000000000001</v>
          </cell>
          <cell r="N64">
            <v>12.8</v>
          </cell>
          <cell r="O64">
            <v>34.200000000000003</v>
          </cell>
          <cell r="P64">
            <v>87.628</v>
          </cell>
          <cell r="Q64">
            <v>38.179000000000002</v>
          </cell>
          <cell r="R64">
            <v>0.184</v>
          </cell>
          <cell r="S64" t="str">
            <v/>
          </cell>
          <cell r="T64" t="str">
            <v/>
          </cell>
          <cell r="U64" t="str">
            <v/>
          </cell>
          <cell r="V64" t="str">
            <v/>
          </cell>
          <cell r="W64" t="str">
            <v/>
          </cell>
          <cell r="X64" t="str">
            <v/>
          </cell>
          <cell r="Y64" t="str">
            <v/>
          </cell>
          <cell r="Z64" t="str">
            <v/>
          </cell>
          <cell r="AA64" t="str">
            <v/>
          </cell>
          <cell r="AB64" t="str">
            <v/>
          </cell>
          <cell r="AC64">
            <v>0.184</v>
          </cell>
        </row>
        <row r="65">
          <cell r="C65" t="str">
            <v>99P51</v>
          </cell>
          <cell r="D65" t="str">
            <v>Low Vol. Line - Mod. Truck Eng</v>
          </cell>
          <cell r="E65">
            <v>36039</v>
          </cell>
          <cell r="F65" t="str">
            <v>GLAVAUTE</v>
          </cell>
          <cell r="G65" t="str">
            <v xml:space="preserve"> PAS  T</v>
          </cell>
          <cell r="H65">
            <v>0.67300000000000004</v>
          </cell>
          <cell r="I65">
            <v>52.204999999999998</v>
          </cell>
          <cell r="J65">
            <v>52.878</v>
          </cell>
          <cell r="K65" t="str">
            <v/>
          </cell>
          <cell r="L65">
            <v>4.4509999999999996</v>
          </cell>
          <cell r="M65">
            <v>4.4509999999999996</v>
          </cell>
          <cell r="N65" t="str">
            <v/>
          </cell>
          <cell r="O65" t="str">
            <v/>
          </cell>
          <cell r="P65">
            <v>57.329000000000001</v>
          </cell>
          <cell r="Q65">
            <v>52.747</v>
          </cell>
          <cell r="R65">
            <v>0.13100000000000001</v>
          </cell>
          <cell r="S65" t="str">
            <v/>
          </cell>
          <cell r="T65" t="str">
            <v/>
          </cell>
          <cell r="U65" t="str">
            <v/>
          </cell>
          <cell r="V65" t="str">
            <v/>
          </cell>
          <cell r="W65" t="str">
            <v/>
          </cell>
          <cell r="X65" t="str">
            <v/>
          </cell>
          <cell r="Y65" t="str">
            <v/>
          </cell>
          <cell r="Z65" t="str">
            <v/>
          </cell>
          <cell r="AA65" t="str">
            <v/>
          </cell>
          <cell r="AB65" t="str">
            <v/>
          </cell>
          <cell r="AC65">
            <v>0.13100000000000001</v>
          </cell>
        </row>
        <row r="66">
          <cell r="C66" t="str">
            <v>99P53</v>
          </cell>
          <cell r="D66" t="str">
            <v>4.6L/5.4L 4V TUMBLE PORT</v>
          </cell>
          <cell r="E66">
            <v>36008</v>
          </cell>
          <cell r="F66" t="str">
            <v>TMOSTILE</v>
          </cell>
          <cell r="G66" t="str">
            <v xml:space="preserve"> PAS  T</v>
          </cell>
          <cell r="H66">
            <v>19.244</v>
          </cell>
          <cell r="I66">
            <v>3.7229999999999999</v>
          </cell>
          <cell r="J66">
            <v>22.966999999999999</v>
          </cell>
          <cell r="K66">
            <v>1E-3</v>
          </cell>
          <cell r="L66">
            <v>2.3980000000000001</v>
          </cell>
          <cell r="M66">
            <v>2.399</v>
          </cell>
          <cell r="N66">
            <v>6.657</v>
          </cell>
          <cell r="O66">
            <v>54</v>
          </cell>
          <cell r="P66">
            <v>86.022999999999996</v>
          </cell>
          <cell r="Q66">
            <v>21.812999999999999</v>
          </cell>
          <cell r="R66">
            <v>1.1539999999999999</v>
          </cell>
          <cell r="S66" t="str">
            <v/>
          </cell>
          <cell r="T66" t="str">
            <v/>
          </cell>
          <cell r="U66" t="str">
            <v/>
          </cell>
          <cell r="V66" t="str">
            <v/>
          </cell>
          <cell r="W66" t="str">
            <v/>
          </cell>
          <cell r="X66" t="str">
            <v/>
          </cell>
          <cell r="Y66" t="str">
            <v/>
          </cell>
          <cell r="Z66" t="str">
            <v/>
          </cell>
          <cell r="AA66" t="str">
            <v/>
          </cell>
          <cell r="AB66" t="str">
            <v/>
          </cell>
          <cell r="AC66">
            <v>1.1539999999999999</v>
          </cell>
        </row>
        <row r="67">
          <cell r="C67" t="str">
            <v>99P54</v>
          </cell>
          <cell r="D67" t="str">
            <v>WINDSOR V8 CAPACITY</v>
          </cell>
          <cell r="E67">
            <v>36251</v>
          </cell>
          <cell r="F67" t="str">
            <v>JEPPERSO</v>
          </cell>
          <cell r="G67" t="str">
            <v xml:space="preserve"> PAS CT</v>
          </cell>
          <cell r="H67">
            <v>10.75</v>
          </cell>
          <cell r="I67">
            <v>18.655999999999999</v>
          </cell>
          <cell r="J67">
            <v>29.405999999999999</v>
          </cell>
          <cell r="K67" t="str">
            <v/>
          </cell>
          <cell r="L67">
            <v>8.94</v>
          </cell>
          <cell r="M67">
            <v>8.94</v>
          </cell>
          <cell r="N67">
            <v>9.6050000000000004</v>
          </cell>
          <cell r="O67" t="str">
            <v/>
          </cell>
          <cell r="P67">
            <v>47.951000000000001</v>
          </cell>
          <cell r="Q67">
            <v>28.707999999999998</v>
          </cell>
          <cell r="R67">
            <v>0.69799999999999995</v>
          </cell>
          <cell r="S67" t="str">
            <v/>
          </cell>
          <cell r="T67" t="str">
            <v/>
          </cell>
          <cell r="U67" t="str">
            <v/>
          </cell>
          <cell r="V67" t="str">
            <v/>
          </cell>
          <cell r="W67" t="str">
            <v/>
          </cell>
          <cell r="X67" t="str">
            <v/>
          </cell>
          <cell r="Y67" t="str">
            <v/>
          </cell>
          <cell r="Z67" t="str">
            <v/>
          </cell>
          <cell r="AA67" t="str">
            <v/>
          </cell>
          <cell r="AB67" t="str">
            <v/>
          </cell>
          <cell r="AC67">
            <v>0.69799999999999995</v>
          </cell>
        </row>
        <row r="68">
          <cell r="C68" t="str">
            <v>99P55</v>
          </cell>
          <cell r="D68" t="str">
            <v>CEPII EXPANSION (570K)</v>
          </cell>
          <cell r="E68">
            <v>36239</v>
          </cell>
          <cell r="F68" t="str">
            <v>VKRESS</v>
          </cell>
          <cell r="G68" t="str">
            <v xml:space="preserve"> PAS CT</v>
          </cell>
          <cell r="H68">
            <v>92.677000000000007</v>
          </cell>
          <cell r="I68">
            <v>156.31200000000001</v>
          </cell>
          <cell r="J68">
            <v>248.989</v>
          </cell>
          <cell r="K68">
            <v>-0.249</v>
          </cell>
          <cell r="L68">
            <v>24.02</v>
          </cell>
          <cell r="M68">
            <v>23.771000000000001</v>
          </cell>
          <cell r="N68">
            <v>19.899999999999999</v>
          </cell>
          <cell r="O68">
            <v>72.599999999999994</v>
          </cell>
          <cell r="P68">
            <v>365.26</v>
          </cell>
          <cell r="Q68">
            <v>244.858</v>
          </cell>
          <cell r="R68">
            <v>4.1310000000000002</v>
          </cell>
          <cell r="S68" t="str">
            <v/>
          </cell>
          <cell r="T68" t="str">
            <v/>
          </cell>
          <cell r="U68" t="str">
            <v/>
          </cell>
          <cell r="V68" t="str">
            <v/>
          </cell>
          <cell r="W68" t="str">
            <v/>
          </cell>
          <cell r="X68" t="str">
            <v/>
          </cell>
          <cell r="Y68" t="str">
            <v/>
          </cell>
          <cell r="Z68" t="str">
            <v/>
          </cell>
          <cell r="AA68" t="str">
            <v/>
          </cell>
          <cell r="AB68" t="str">
            <v/>
          </cell>
          <cell r="AC68">
            <v>4.1310000000000002</v>
          </cell>
        </row>
        <row r="69">
          <cell r="C69" t="str">
            <v>99P86</v>
          </cell>
          <cell r="D69" t="str">
            <v>FN Transmission - Van Dyke</v>
          </cell>
          <cell r="E69">
            <v>36375</v>
          </cell>
          <cell r="F69" t="str">
            <v>KMCCUSKE</v>
          </cell>
          <cell r="G69" t="str">
            <v xml:space="preserve"> PAS  T</v>
          </cell>
          <cell r="H69">
            <v>53.524000000000001</v>
          </cell>
          <cell r="I69">
            <v>236.24600000000001</v>
          </cell>
          <cell r="J69">
            <v>289.77</v>
          </cell>
          <cell r="K69">
            <v>0.32800000000000001</v>
          </cell>
          <cell r="L69">
            <v>17.105</v>
          </cell>
          <cell r="M69">
            <v>17.433</v>
          </cell>
          <cell r="N69">
            <v>22.5</v>
          </cell>
          <cell r="O69">
            <v>75.099999999999994</v>
          </cell>
          <cell r="P69">
            <v>404.803</v>
          </cell>
          <cell r="Q69">
            <v>259.98099999999999</v>
          </cell>
          <cell r="R69">
            <v>29.789000000000001</v>
          </cell>
          <cell r="S69" t="str">
            <v/>
          </cell>
          <cell r="T69" t="str">
            <v/>
          </cell>
          <cell r="U69" t="str">
            <v/>
          </cell>
          <cell r="V69" t="str">
            <v/>
          </cell>
          <cell r="W69" t="str">
            <v/>
          </cell>
          <cell r="X69" t="str">
            <v/>
          </cell>
          <cell r="Y69" t="str">
            <v/>
          </cell>
          <cell r="Z69" t="str">
            <v/>
          </cell>
          <cell r="AA69" t="str">
            <v/>
          </cell>
          <cell r="AB69" t="str">
            <v/>
          </cell>
          <cell r="AC69">
            <v>29.789000000000001</v>
          </cell>
        </row>
        <row r="70">
          <cell r="C70" t="str">
            <v>99R11</v>
          </cell>
          <cell r="D70" t="str">
            <v>EA169 POWERTRAIN</v>
          </cell>
          <cell r="E70">
            <v>36008</v>
          </cell>
          <cell r="F70" t="str">
            <v>DRODRI17</v>
          </cell>
          <cell r="G70" t="str">
            <v xml:space="preserve"> PAS  T</v>
          </cell>
          <cell r="H70">
            <v>0.91700000000000004</v>
          </cell>
          <cell r="I70">
            <v>0.04</v>
          </cell>
          <cell r="J70">
            <v>0.95699999999999996</v>
          </cell>
          <cell r="K70" t="str">
            <v/>
          </cell>
          <cell r="L70">
            <v>5.7000000000000002E-2</v>
          </cell>
          <cell r="M70">
            <v>5.7000000000000002E-2</v>
          </cell>
          <cell r="N70" t="str">
            <v/>
          </cell>
          <cell r="O70" t="str">
            <v/>
          </cell>
          <cell r="P70">
            <v>1.014</v>
          </cell>
          <cell r="Q70">
            <v>0.95699999999999996</v>
          </cell>
          <cell r="R70" t="str">
            <v/>
          </cell>
          <cell r="S70" t="str">
            <v/>
          </cell>
          <cell r="T70" t="str">
            <v/>
          </cell>
          <cell r="U70" t="str">
            <v/>
          </cell>
          <cell r="V70" t="str">
            <v/>
          </cell>
          <cell r="W70" t="str">
            <v/>
          </cell>
          <cell r="X70" t="str">
            <v/>
          </cell>
          <cell r="Y70" t="str">
            <v/>
          </cell>
          <cell r="Z70" t="str">
            <v/>
          </cell>
          <cell r="AA70" t="str">
            <v/>
          </cell>
          <cell r="AB70" t="str">
            <v/>
          </cell>
          <cell r="AC70" t="str">
            <v/>
          </cell>
        </row>
        <row r="71">
          <cell r="C71" t="str">
            <v>99S03</v>
          </cell>
          <cell r="D71" t="str">
            <v>00 1/2MY 2.0L/2.4L PUMA Dsl</v>
          </cell>
          <cell r="E71">
            <v>36395</v>
          </cell>
          <cell r="F71" t="str">
            <v>MHARROP</v>
          </cell>
          <cell r="G71" t="str">
            <v xml:space="preserve"> PAS  T</v>
          </cell>
          <cell r="H71" t="str">
            <v/>
          </cell>
          <cell r="I71">
            <v>2.2709999999999999</v>
          </cell>
          <cell r="J71">
            <v>2.2709999999999999</v>
          </cell>
          <cell r="K71" t="str">
            <v/>
          </cell>
          <cell r="L71" t="str">
            <v/>
          </cell>
          <cell r="M71" t="str">
            <v/>
          </cell>
          <cell r="N71">
            <v>0.83799999999999997</v>
          </cell>
          <cell r="O71" t="str">
            <v/>
          </cell>
          <cell r="P71">
            <v>3.109</v>
          </cell>
          <cell r="Q71">
            <v>2.2709999999999999</v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/>
          </cell>
          <cell r="W71" t="str">
            <v/>
          </cell>
          <cell r="X71" t="str">
            <v/>
          </cell>
          <cell r="Y71" t="str">
            <v/>
          </cell>
          <cell r="Z71" t="str">
            <v/>
          </cell>
          <cell r="AA71" t="str">
            <v/>
          </cell>
          <cell r="AB71" t="str">
            <v/>
          </cell>
          <cell r="AC71" t="str">
            <v/>
          </cell>
        </row>
        <row r="72">
          <cell r="C72" t="str">
            <v>00P04</v>
          </cell>
          <cell r="D72" t="str">
            <v>CROSS VEHICLE EMISSIONS</v>
          </cell>
          <cell r="E72">
            <v>36373</v>
          </cell>
          <cell r="F72" t="str">
            <v>MDILS</v>
          </cell>
          <cell r="G72" t="str">
            <v>R  S  T</v>
          </cell>
          <cell r="H72">
            <v>0.97699999999999998</v>
          </cell>
          <cell r="I72">
            <v>3.2</v>
          </cell>
          <cell r="J72">
            <v>4.1769999999999996</v>
          </cell>
          <cell r="K72">
            <v>5.5E-2</v>
          </cell>
          <cell r="L72" t="str">
            <v/>
          </cell>
          <cell r="M72">
            <v>5.5E-2</v>
          </cell>
          <cell r="N72">
            <v>0.6</v>
          </cell>
          <cell r="O72">
            <v>2</v>
          </cell>
          <cell r="P72">
            <v>6.8319999999999999</v>
          </cell>
          <cell r="Q72">
            <v>2.2679999999999998</v>
          </cell>
          <cell r="R72">
            <v>1.909</v>
          </cell>
          <cell r="S72" t="str">
            <v/>
          </cell>
          <cell r="T72" t="str">
            <v/>
          </cell>
          <cell r="U72" t="str">
            <v/>
          </cell>
          <cell r="V72" t="str">
            <v/>
          </cell>
          <cell r="W72" t="str">
            <v/>
          </cell>
          <cell r="X72" t="str">
            <v/>
          </cell>
          <cell r="Y72" t="str">
            <v/>
          </cell>
          <cell r="Z72" t="str">
            <v/>
          </cell>
          <cell r="AA72" t="str">
            <v/>
          </cell>
          <cell r="AB72" t="str">
            <v/>
          </cell>
          <cell r="AC72">
            <v>1.909</v>
          </cell>
        </row>
        <row r="73">
          <cell r="C73" t="str">
            <v>00P11</v>
          </cell>
          <cell r="D73" t="str">
            <v>I4 4v DOHC- NA Plant 1-CUEP</v>
          </cell>
          <cell r="E73">
            <v>36829</v>
          </cell>
          <cell r="F73" t="str">
            <v>CPARKER5</v>
          </cell>
          <cell r="G73" t="str">
            <v xml:space="preserve"> PASV T</v>
          </cell>
          <cell r="H73">
            <v>109.898</v>
          </cell>
          <cell r="I73">
            <v>300.98700000000002</v>
          </cell>
          <cell r="J73">
            <v>410.88499999999999</v>
          </cell>
          <cell r="K73">
            <v>0.82499999999999996</v>
          </cell>
          <cell r="L73">
            <v>10.247</v>
          </cell>
          <cell r="M73">
            <v>11.071999999999999</v>
          </cell>
          <cell r="N73">
            <v>19.899999999999999</v>
          </cell>
          <cell r="O73">
            <v>35</v>
          </cell>
          <cell r="P73">
            <v>476.85700000000003</v>
          </cell>
          <cell r="Q73">
            <v>214.239</v>
          </cell>
          <cell r="R73">
            <v>152.46799999999999</v>
          </cell>
          <cell r="S73">
            <v>44.177999999999997</v>
          </cell>
          <cell r="T73" t="str">
            <v/>
          </cell>
          <cell r="U73" t="str">
            <v/>
          </cell>
          <cell r="V73" t="str">
            <v/>
          </cell>
          <cell r="W73" t="str">
            <v/>
          </cell>
          <cell r="X73" t="str">
            <v/>
          </cell>
          <cell r="Y73" t="str">
            <v/>
          </cell>
          <cell r="Z73" t="str">
            <v/>
          </cell>
          <cell r="AA73" t="str">
            <v/>
          </cell>
          <cell r="AB73" t="str">
            <v/>
          </cell>
          <cell r="AC73">
            <v>196.64599999999999</v>
          </cell>
        </row>
        <row r="74">
          <cell r="C74" t="str">
            <v>00P13</v>
          </cell>
          <cell r="D74" t="str">
            <v>I4/I5 Casting Prov-Cle Alum</v>
          </cell>
          <cell r="E74">
            <v>36617</v>
          </cell>
          <cell r="F74" t="str">
            <v>DANDER13</v>
          </cell>
          <cell r="G74" t="str">
            <v xml:space="preserve"> PAS  T</v>
          </cell>
          <cell r="H74">
            <v>18.359000000000002</v>
          </cell>
          <cell r="I74">
            <v>134.02500000000001</v>
          </cell>
          <cell r="J74">
            <v>152.38399999999999</v>
          </cell>
          <cell r="K74" t="str">
            <v/>
          </cell>
          <cell r="L74">
            <v>11.526</v>
          </cell>
          <cell r="M74">
            <v>11.526</v>
          </cell>
          <cell r="N74">
            <v>16.2</v>
          </cell>
          <cell r="O74">
            <v>9</v>
          </cell>
          <cell r="P74">
            <v>189.11</v>
          </cell>
          <cell r="Q74">
            <v>116.18</v>
          </cell>
          <cell r="R74">
            <v>33.052</v>
          </cell>
          <cell r="S74">
            <v>3.1520000000000001</v>
          </cell>
          <cell r="T74" t="str">
            <v/>
          </cell>
          <cell r="U74" t="str">
            <v/>
          </cell>
          <cell r="V74" t="str">
            <v/>
          </cell>
          <cell r="W74" t="str">
            <v/>
          </cell>
          <cell r="X74" t="str">
            <v/>
          </cell>
          <cell r="Y74" t="str">
            <v/>
          </cell>
          <cell r="Z74" t="str">
            <v/>
          </cell>
          <cell r="AA74" t="str">
            <v/>
          </cell>
          <cell r="AB74" t="str">
            <v/>
          </cell>
          <cell r="AC74">
            <v>36.204000000000001</v>
          </cell>
        </row>
        <row r="75">
          <cell r="C75" t="str">
            <v>00P14</v>
          </cell>
          <cell r="D75" t="str">
            <v>CD4E TORQ UPGRADE</v>
          </cell>
          <cell r="E75">
            <v>36586</v>
          </cell>
          <cell r="F75" t="str">
            <v>THUHTALA</v>
          </cell>
          <cell r="G75" t="str">
            <v xml:space="preserve"> PASV T</v>
          </cell>
          <cell r="H75">
            <v>16.917999999999999</v>
          </cell>
          <cell r="I75">
            <v>0.29799999999999999</v>
          </cell>
          <cell r="J75">
            <v>17.216000000000001</v>
          </cell>
          <cell r="K75">
            <v>0.14399999999999999</v>
          </cell>
          <cell r="L75">
            <v>2.1000000000000001E-2</v>
          </cell>
          <cell r="M75">
            <v>0.16500000000000001</v>
          </cell>
          <cell r="N75" t="str">
            <v/>
          </cell>
          <cell r="O75">
            <v>11</v>
          </cell>
          <cell r="P75">
            <v>28.381</v>
          </cell>
          <cell r="Q75">
            <v>9.8930000000000007</v>
          </cell>
          <cell r="R75">
            <v>3.1539999999999999</v>
          </cell>
          <cell r="S75">
            <v>2.8780000000000001</v>
          </cell>
          <cell r="T75">
            <v>1.29</v>
          </cell>
          <cell r="U75" t="str">
            <v/>
          </cell>
          <cell r="V75">
            <v>1E-3</v>
          </cell>
          <cell r="W75" t="str">
            <v/>
          </cell>
          <cell r="X75" t="str">
            <v/>
          </cell>
          <cell r="Y75" t="str">
            <v/>
          </cell>
          <cell r="Z75" t="str">
            <v/>
          </cell>
          <cell r="AA75" t="str">
            <v/>
          </cell>
          <cell r="AB75" t="str">
            <v/>
          </cell>
          <cell r="AC75">
            <v>7.3230000000000004</v>
          </cell>
        </row>
        <row r="76">
          <cell r="C76" t="str">
            <v>00P15</v>
          </cell>
          <cell r="D76" t="str">
            <v>Powertrain Cost Reductions</v>
          </cell>
          <cell r="E76">
            <v>36708</v>
          </cell>
          <cell r="F76" t="str">
            <v>EBRUMO</v>
          </cell>
          <cell r="G76" t="str">
            <v xml:space="preserve">  AS  T</v>
          </cell>
          <cell r="H76">
            <v>22.603999999999999</v>
          </cell>
          <cell r="I76">
            <v>10.906000000000001</v>
          </cell>
          <cell r="J76">
            <v>33.51</v>
          </cell>
          <cell r="K76">
            <v>0.123</v>
          </cell>
          <cell r="L76">
            <v>2.6549999999999998</v>
          </cell>
          <cell r="M76">
            <v>2.778</v>
          </cell>
          <cell r="N76">
            <v>2.4169999999999998</v>
          </cell>
          <cell r="O76">
            <v>5.9630000000000001</v>
          </cell>
          <cell r="P76">
            <v>44.667999999999999</v>
          </cell>
          <cell r="Q76">
            <v>14.382999999999999</v>
          </cell>
          <cell r="R76">
            <v>11.228</v>
          </cell>
          <cell r="S76">
            <v>5.37</v>
          </cell>
          <cell r="T76">
            <v>1.0449999999999999</v>
          </cell>
          <cell r="U76">
            <v>1.0469999999999999</v>
          </cell>
          <cell r="V76">
            <v>0.437</v>
          </cell>
          <cell r="W76" t="str">
            <v/>
          </cell>
          <cell r="X76" t="str">
            <v/>
          </cell>
          <cell r="Y76" t="str">
            <v/>
          </cell>
          <cell r="Z76" t="str">
            <v/>
          </cell>
          <cell r="AA76" t="str">
            <v/>
          </cell>
          <cell r="AB76" t="str">
            <v/>
          </cell>
          <cell r="AC76">
            <v>19.126999999999999</v>
          </cell>
        </row>
        <row r="77">
          <cell r="C77" t="str">
            <v>00P31</v>
          </cell>
          <cell r="D77" t="str">
            <v>REP 4V Mini Head Line</v>
          </cell>
          <cell r="E77">
            <v>36526</v>
          </cell>
          <cell r="F77" t="str">
            <v>TMOSTILE</v>
          </cell>
          <cell r="G77" t="str">
            <v xml:space="preserve"> PAS  T</v>
          </cell>
          <cell r="H77">
            <v>6.8000000000000005E-2</v>
          </cell>
          <cell r="I77">
            <v>7.9290000000000003</v>
          </cell>
          <cell r="J77">
            <v>7.9969999999999999</v>
          </cell>
          <cell r="K77">
            <v>6.7000000000000004E-2</v>
          </cell>
          <cell r="L77">
            <v>2.903</v>
          </cell>
          <cell r="M77">
            <v>2.97</v>
          </cell>
          <cell r="N77">
            <v>1</v>
          </cell>
          <cell r="O77" t="str">
            <v/>
          </cell>
          <cell r="P77">
            <v>11.967000000000001</v>
          </cell>
          <cell r="Q77">
            <v>5.274</v>
          </cell>
          <cell r="R77">
            <v>2.7229999999999999</v>
          </cell>
          <cell r="S77" t="str">
            <v/>
          </cell>
          <cell r="T77" t="str">
            <v/>
          </cell>
          <cell r="U77" t="str">
            <v/>
          </cell>
          <cell r="V77" t="str">
            <v/>
          </cell>
          <cell r="W77" t="str">
            <v/>
          </cell>
          <cell r="X77" t="str">
            <v/>
          </cell>
          <cell r="Y77" t="str">
            <v/>
          </cell>
          <cell r="Z77" t="str">
            <v/>
          </cell>
          <cell r="AA77" t="str">
            <v/>
          </cell>
          <cell r="AB77" t="str">
            <v/>
          </cell>
          <cell r="AC77">
            <v>2.7229999999999999</v>
          </cell>
        </row>
        <row r="78">
          <cell r="C78" t="str">
            <v>00P60</v>
          </cell>
          <cell r="D78" t="str">
            <v>(G)V8/V10 RWD Capacity</v>
          </cell>
          <cell r="E78">
            <v>36739</v>
          </cell>
          <cell r="F78" t="str">
            <v>FOHEARN</v>
          </cell>
          <cell r="G78" t="str">
            <v xml:space="preserve">  ASVCT</v>
          </cell>
          <cell r="H78">
            <v>106.477</v>
          </cell>
          <cell r="I78">
            <v>228.613</v>
          </cell>
          <cell r="J78">
            <v>335.09</v>
          </cell>
          <cell r="K78">
            <v>4.8710000000000004</v>
          </cell>
          <cell r="L78">
            <v>30.553999999999998</v>
          </cell>
          <cell r="M78">
            <v>35.424999999999997</v>
          </cell>
          <cell r="N78">
            <v>25.75</v>
          </cell>
          <cell r="O78" t="str">
            <v/>
          </cell>
          <cell r="P78">
            <v>396.26499999999999</v>
          </cell>
          <cell r="Q78">
            <v>113.71299999999999</v>
          </cell>
          <cell r="R78">
            <v>177.059</v>
          </cell>
          <cell r="S78">
            <v>44.317999999999998</v>
          </cell>
          <cell r="T78" t="str">
            <v/>
          </cell>
          <cell r="U78" t="str">
            <v/>
          </cell>
          <cell r="V78" t="str">
            <v/>
          </cell>
          <cell r="W78" t="str">
            <v/>
          </cell>
          <cell r="X78" t="str">
            <v/>
          </cell>
          <cell r="Y78" t="str">
            <v/>
          </cell>
          <cell r="Z78" t="str">
            <v/>
          </cell>
          <cell r="AA78" t="str">
            <v/>
          </cell>
          <cell r="AB78" t="str">
            <v/>
          </cell>
          <cell r="AC78">
            <v>221.37700000000001</v>
          </cell>
        </row>
        <row r="79">
          <cell r="C79" t="str">
            <v>00P62</v>
          </cell>
          <cell r="D79" t="str">
            <v>QUALITY IMP. Actions- AX4S</v>
          </cell>
          <cell r="E79">
            <v>36373</v>
          </cell>
          <cell r="F79" t="str">
            <v>KMCCUSKE</v>
          </cell>
          <cell r="G79" t="str">
            <v xml:space="preserve">  AS  T</v>
          </cell>
          <cell r="H79">
            <v>5.0750000000000002</v>
          </cell>
          <cell r="I79">
            <v>29.634</v>
          </cell>
          <cell r="J79">
            <v>34.709000000000003</v>
          </cell>
          <cell r="K79" t="str">
            <v/>
          </cell>
          <cell r="L79">
            <v>0.27100000000000002</v>
          </cell>
          <cell r="M79">
            <v>0.27100000000000002</v>
          </cell>
          <cell r="N79">
            <v>2.8</v>
          </cell>
          <cell r="O79">
            <v>3</v>
          </cell>
          <cell r="P79">
            <v>40.78</v>
          </cell>
          <cell r="Q79">
            <v>14.766</v>
          </cell>
          <cell r="R79">
            <v>17.803000000000001</v>
          </cell>
          <cell r="S79">
            <v>2.14</v>
          </cell>
          <cell r="T79" t="str">
            <v/>
          </cell>
          <cell r="U79" t="str">
            <v/>
          </cell>
          <cell r="V79" t="str">
            <v/>
          </cell>
          <cell r="W79" t="str">
            <v/>
          </cell>
          <cell r="X79" t="str">
            <v/>
          </cell>
          <cell r="Y79" t="str">
            <v/>
          </cell>
          <cell r="Z79" t="str">
            <v/>
          </cell>
          <cell r="AA79" t="str">
            <v/>
          </cell>
          <cell r="AB79" t="str">
            <v/>
          </cell>
          <cell r="AC79">
            <v>19.943000000000001</v>
          </cell>
        </row>
        <row r="80">
          <cell r="C80" t="str">
            <v>00P64</v>
          </cell>
          <cell r="D80" t="str">
            <v>(G) Navig. 5.4L 4V Cap@Wnsr</v>
          </cell>
          <cell r="E80">
            <v>36373</v>
          </cell>
          <cell r="F80" t="str">
            <v>GLAVAUTE</v>
          </cell>
          <cell r="G80" t="str">
            <v xml:space="preserve"> P S CT</v>
          </cell>
          <cell r="H80">
            <v>0.105</v>
          </cell>
          <cell r="I80">
            <v>1.2030000000000001</v>
          </cell>
          <cell r="J80">
            <v>1.3080000000000001</v>
          </cell>
          <cell r="K80" t="str">
            <v/>
          </cell>
          <cell r="L80">
            <v>0.372</v>
          </cell>
          <cell r="M80">
            <v>0.372</v>
          </cell>
          <cell r="N80" t="str">
            <v/>
          </cell>
          <cell r="O80" t="str">
            <v/>
          </cell>
          <cell r="P80">
            <v>1.68</v>
          </cell>
          <cell r="Q80">
            <v>1.0589999999999999</v>
          </cell>
          <cell r="R80">
            <v>0.23899999999999999</v>
          </cell>
          <cell r="S80">
            <v>4.0000000000000001E-3</v>
          </cell>
          <cell r="T80">
            <v>4.0000000000000001E-3</v>
          </cell>
          <cell r="U80">
            <v>2E-3</v>
          </cell>
          <cell r="V80" t="str">
            <v/>
          </cell>
          <cell r="W80" t="str">
            <v/>
          </cell>
          <cell r="X80" t="str">
            <v/>
          </cell>
          <cell r="Y80" t="str">
            <v/>
          </cell>
          <cell r="Z80" t="str">
            <v/>
          </cell>
          <cell r="AA80" t="str">
            <v/>
          </cell>
          <cell r="AB80" t="str">
            <v/>
          </cell>
          <cell r="AC80">
            <v>0.249</v>
          </cell>
        </row>
        <row r="81">
          <cell r="C81" t="str">
            <v>00P66</v>
          </cell>
          <cell r="D81" t="str">
            <v>4.6L CI Block Cap Incr(REP)</v>
          </cell>
          <cell r="E81">
            <v>36708</v>
          </cell>
          <cell r="F81" t="str">
            <v>DDEESCHA</v>
          </cell>
          <cell r="G81" t="str">
            <v xml:space="preserve">  ASVCT</v>
          </cell>
          <cell r="H81">
            <v>2.4489999999999998</v>
          </cell>
          <cell r="I81">
            <v>7.0579999999999998</v>
          </cell>
          <cell r="J81">
            <v>9.5069999999999997</v>
          </cell>
          <cell r="K81" t="str">
            <v/>
          </cell>
          <cell r="L81" t="str">
            <v/>
          </cell>
          <cell r="M81" t="str">
            <v/>
          </cell>
          <cell r="N81">
            <v>0.96</v>
          </cell>
          <cell r="O81" t="str">
            <v/>
          </cell>
          <cell r="P81">
            <v>10.467000000000001</v>
          </cell>
          <cell r="Q81" t="str">
            <v/>
          </cell>
          <cell r="R81">
            <v>3.855</v>
          </cell>
          <cell r="S81">
            <v>5.6520000000000001</v>
          </cell>
          <cell r="T81" t="str">
            <v/>
          </cell>
          <cell r="U81" t="str">
            <v/>
          </cell>
          <cell r="V81" t="str">
            <v/>
          </cell>
          <cell r="W81" t="str">
            <v/>
          </cell>
          <cell r="X81" t="str">
            <v/>
          </cell>
          <cell r="Y81" t="str">
            <v/>
          </cell>
          <cell r="Z81" t="str">
            <v/>
          </cell>
          <cell r="AA81" t="str">
            <v/>
          </cell>
          <cell r="AB81" t="str">
            <v/>
          </cell>
          <cell r="AC81">
            <v>9.5069999999999997</v>
          </cell>
        </row>
        <row r="82">
          <cell r="C82" t="str">
            <v>00P80</v>
          </cell>
          <cell r="D82" t="str">
            <v>(G)4R100 (E4OD) 45K Cap Inc</v>
          </cell>
          <cell r="E82">
            <v>36526</v>
          </cell>
          <cell r="F82" t="str">
            <v>DLUKAS1</v>
          </cell>
          <cell r="G82" t="str">
            <v xml:space="preserve"> PAS CT</v>
          </cell>
          <cell r="H82">
            <v>8.2200000000000006</v>
          </cell>
          <cell r="I82">
            <v>40.265999999999998</v>
          </cell>
          <cell r="J82">
            <v>48.485999999999997</v>
          </cell>
          <cell r="K82">
            <v>1.0640000000000001</v>
          </cell>
          <cell r="L82">
            <v>4.3810000000000002</v>
          </cell>
          <cell r="M82">
            <v>5.4450000000000003</v>
          </cell>
          <cell r="N82">
            <v>4.2</v>
          </cell>
          <cell r="O82" t="str">
            <v/>
          </cell>
          <cell r="P82">
            <v>58.131</v>
          </cell>
          <cell r="Q82">
            <v>22.213000000000001</v>
          </cell>
          <cell r="R82">
            <v>25.573</v>
          </cell>
          <cell r="S82">
            <v>0.7</v>
          </cell>
          <cell r="T82" t="str">
            <v/>
          </cell>
          <cell r="U82" t="str">
            <v/>
          </cell>
          <cell r="V82" t="str">
            <v/>
          </cell>
          <cell r="W82" t="str">
            <v/>
          </cell>
          <cell r="X82" t="str">
            <v/>
          </cell>
          <cell r="Y82" t="str">
            <v/>
          </cell>
          <cell r="Z82" t="str">
            <v/>
          </cell>
          <cell r="AA82" t="str">
            <v/>
          </cell>
          <cell r="AB82" t="str">
            <v/>
          </cell>
          <cell r="AC82">
            <v>26.273</v>
          </cell>
        </row>
        <row r="83">
          <cell r="C83" t="str">
            <v>00P86</v>
          </cell>
          <cell r="D83" t="str">
            <v>FN-Post Job1 Dfrd F&amp;T Reqts</v>
          </cell>
          <cell r="E83">
            <v>36708</v>
          </cell>
          <cell r="F83" t="str">
            <v>KMCCUSKE</v>
          </cell>
          <cell r="G83" t="str">
            <v xml:space="preserve">  ASV T</v>
          </cell>
          <cell r="H83">
            <v>0.91100000000000003</v>
          </cell>
          <cell r="I83">
            <v>3.6779999999999999</v>
          </cell>
          <cell r="J83">
            <v>4.5890000000000004</v>
          </cell>
          <cell r="K83">
            <v>0.12</v>
          </cell>
          <cell r="L83">
            <v>0.29099999999999998</v>
          </cell>
          <cell r="M83">
            <v>0.41099999999999998</v>
          </cell>
          <cell r="N83" t="str">
            <v/>
          </cell>
          <cell r="O83" t="str">
            <v/>
          </cell>
          <cell r="P83">
            <v>5</v>
          </cell>
          <cell r="Q83" t="str">
            <v/>
          </cell>
          <cell r="R83">
            <v>4.569</v>
          </cell>
          <cell r="S83">
            <v>0.02</v>
          </cell>
          <cell r="T83" t="str">
            <v/>
          </cell>
          <cell r="U83" t="str">
            <v/>
          </cell>
          <cell r="V83" t="str">
            <v/>
          </cell>
          <cell r="W83" t="str">
            <v/>
          </cell>
          <cell r="X83" t="str">
            <v/>
          </cell>
          <cell r="Y83" t="str">
            <v/>
          </cell>
          <cell r="Z83" t="str">
            <v/>
          </cell>
          <cell r="AA83" t="str">
            <v/>
          </cell>
          <cell r="AB83" t="str">
            <v/>
          </cell>
          <cell r="AC83">
            <v>4.5890000000000004</v>
          </cell>
        </row>
        <row r="84">
          <cell r="C84" t="str">
            <v>00P90</v>
          </cell>
          <cell r="D84" t="str">
            <v>Pwr Imp: Cyl Hd Line @ Windsor</v>
          </cell>
          <cell r="E84">
            <v>36373</v>
          </cell>
          <cell r="F84" t="str">
            <v>JEPPERSO</v>
          </cell>
          <cell r="G84" t="str">
            <v xml:space="preserve"> PAS  T</v>
          </cell>
          <cell r="H84">
            <v>12.997</v>
          </cell>
          <cell r="I84">
            <v>2.089</v>
          </cell>
          <cell r="J84">
            <v>15.086</v>
          </cell>
          <cell r="K84">
            <v>6.0000000000000001E-3</v>
          </cell>
          <cell r="L84">
            <v>0.70699999999999996</v>
          </cell>
          <cell r="M84">
            <v>0.71299999999999997</v>
          </cell>
          <cell r="N84">
            <v>1.085</v>
          </cell>
          <cell r="O84">
            <v>46.125999999999998</v>
          </cell>
          <cell r="P84">
            <v>63.01</v>
          </cell>
          <cell r="Q84">
            <v>14.807</v>
          </cell>
          <cell r="R84">
            <v>0.27900000000000003</v>
          </cell>
          <cell r="S84" t="str">
            <v/>
          </cell>
          <cell r="T84" t="str">
            <v/>
          </cell>
          <cell r="U84" t="str">
            <v/>
          </cell>
          <cell r="V84" t="str">
            <v/>
          </cell>
          <cell r="W84" t="str">
            <v/>
          </cell>
          <cell r="X84" t="str">
            <v/>
          </cell>
          <cell r="Y84" t="str">
            <v/>
          </cell>
          <cell r="Z84" t="str">
            <v/>
          </cell>
          <cell r="AA84" t="str">
            <v/>
          </cell>
          <cell r="AB84" t="str">
            <v/>
          </cell>
          <cell r="AC84">
            <v>0.27900000000000003</v>
          </cell>
        </row>
        <row r="85">
          <cell r="C85" t="str">
            <v>01P00</v>
          </cell>
          <cell r="D85" t="str">
            <v>Duratec V12 (AMV03)</v>
          </cell>
          <cell r="E85">
            <v>36739</v>
          </cell>
          <cell r="F85" t="str">
            <v>VKRESS</v>
          </cell>
          <cell r="G85" t="str">
            <v xml:space="preserve"> P    T</v>
          </cell>
          <cell r="H85">
            <v>1E-3</v>
          </cell>
          <cell r="I85" t="str">
            <v/>
          </cell>
          <cell r="J85">
            <v>1E-3</v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0.3</v>
          </cell>
          <cell r="P85">
            <v>0.30099999999999999</v>
          </cell>
          <cell r="Q85" t="str">
            <v/>
          </cell>
          <cell r="R85" t="str">
            <v/>
          </cell>
          <cell r="S85">
            <v>1E-3</v>
          </cell>
          <cell r="T85" t="str">
            <v/>
          </cell>
          <cell r="U85" t="str">
            <v/>
          </cell>
          <cell r="V85" t="str">
            <v/>
          </cell>
          <cell r="W85" t="str">
            <v/>
          </cell>
          <cell r="X85" t="str">
            <v/>
          </cell>
          <cell r="Y85" t="str">
            <v/>
          </cell>
          <cell r="Z85" t="str">
            <v/>
          </cell>
          <cell r="AA85" t="str">
            <v/>
          </cell>
          <cell r="AB85" t="str">
            <v/>
          </cell>
          <cell r="AC85">
            <v>1E-3</v>
          </cell>
        </row>
        <row r="86">
          <cell r="C86" t="str">
            <v>01P03</v>
          </cell>
          <cell r="D86" t="str">
            <v>PTEC-DEW/Explorer/X200</v>
          </cell>
          <cell r="E86">
            <v>36739</v>
          </cell>
          <cell r="F86" t="str">
            <v>MDILS</v>
          </cell>
          <cell r="G86" t="str">
            <v>R ASV T</v>
          </cell>
          <cell r="H86">
            <v>0.65</v>
          </cell>
          <cell r="I86" t="str">
            <v/>
          </cell>
          <cell r="J86">
            <v>0.65</v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>
            <v>0.65</v>
          </cell>
          <cell r="Q86">
            <v>0.58699999999999997</v>
          </cell>
          <cell r="R86">
            <v>6.3E-2</v>
          </cell>
          <cell r="S86" t="str">
            <v/>
          </cell>
          <cell r="T86" t="str">
            <v/>
          </cell>
          <cell r="U86" t="str">
            <v/>
          </cell>
          <cell r="V86" t="str">
            <v/>
          </cell>
          <cell r="W86" t="str">
            <v/>
          </cell>
          <cell r="X86" t="str">
            <v/>
          </cell>
          <cell r="Y86" t="str">
            <v/>
          </cell>
          <cell r="Z86" t="str">
            <v/>
          </cell>
          <cell r="AA86" t="str">
            <v/>
          </cell>
          <cell r="AB86" t="str">
            <v/>
          </cell>
          <cell r="AC86">
            <v>6.3E-2</v>
          </cell>
        </row>
        <row r="87">
          <cell r="C87" t="str">
            <v>01P07</v>
          </cell>
          <cell r="D87" t="str">
            <v>3.9L 5K Cap Incr at LEP</v>
          </cell>
          <cell r="E87">
            <v>36739</v>
          </cell>
          <cell r="F87" t="str">
            <v>EBRUMO</v>
          </cell>
          <cell r="G87" t="str">
            <v xml:space="preserve">  ASVCT</v>
          </cell>
          <cell r="H87">
            <v>1.1299999999999999</v>
          </cell>
          <cell r="I87">
            <v>1.306</v>
          </cell>
          <cell r="J87">
            <v>2.4359999999999999</v>
          </cell>
          <cell r="K87">
            <v>3.1E-2</v>
          </cell>
          <cell r="L87">
            <v>0.13400000000000001</v>
          </cell>
          <cell r="M87">
            <v>0.16500000000000001</v>
          </cell>
          <cell r="N87">
            <v>0.2</v>
          </cell>
          <cell r="O87" t="str">
            <v/>
          </cell>
          <cell r="P87">
            <v>2.8010000000000002</v>
          </cell>
          <cell r="Q87">
            <v>0.46200000000000002</v>
          </cell>
          <cell r="R87">
            <v>1.546</v>
          </cell>
          <cell r="S87">
            <v>0.42799999999999999</v>
          </cell>
          <cell r="T87" t="str">
            <v/>
          </cell>
          <cell r="U87" t="str">
            <v/>
          </cell>
          <cell r="V87" t="str">
            <v/>
          </cell>
          <cell r="W87" t="str">
            <v/>
          </cell>
          <cell r="X87" t="str">
            <v/>
          </cell>
          <cell r="Y87" t="str">
            <v/>
          </cell>
          <cell r="Z87" t="str">
            <v/>
          </cell>
          <cell r="AA87" t="str">
            <v/>
          </cell>
          <cell r="AB87" t="str">
            <v/>
          </cell>
          <cell r="AC87">
            <v>1.974</v>
          </cell>
        </row>
        <row r="88">
          <cell r="C88" t="str">
            <v>01P08</v>
          </cell>
          <cell r="D88" t="str">
            <v>I4/I5 2ND N/A PLANT-DEP</v>
          </cell>
          <cell r="E88">
            <v>36836</v>
          </cell>
          <cell r="F88" t="str">
            <v>CPARKER5</v>
          </cell>
          <cell r="G88" t="str">
            <v xml:space="preserve"> PASV T</v>
          </cell>
          <cell r="H88">
            <v>74.391000000000005</v>
          </cell>
          <cell r="I88">
            <v>295.976</v>
          </cell>
          <cell r="J88">
            <v>370.36700000000002</v>
          </cell>
          <cell r="K88" t="str">
            <v/>
          </cell>
          <cell r="L88">
            <v>20.513999999999999</v>
          </cell>
          <cell r="M88">
            <v>20.513999999999999</v>
          </cell>
          <cell r="N88">
            <v>29</v>
          </cell>
          <cell r="O88">
            <v>43</v>
          </cell>
          <cell r="P88">
            <v>462.88099999999997</v>
          </cell>
          <cell r="Q88">
            <v>150.946</v>
          </cell>
          <cell r="R88">
            <v>160.07499999999999</v>
          </cell>
          <cell r="S88">
            <v>59.345999999999997</v>
          </cell>
          <cell r="T88" t="str">
            <v/>
          </cell>
          <cell r="U88" t="str">
            <v/>
          </cell>
          <cell r="V88" t="str">
            <v/>
          </cell>
          <cell r="W88" t="str">
            <v/>
          </cell>
          <cell r="X88" t="str">
            <v/>
          </cell>
          <cell r="Y88" t="str">
            <v/>
          </cell>
          <cell r="Z88" t="str">
            <v/>
          </cell>
          <cell r="AA88" t="str">
            <v/>
          </cell>
          <cell r="AB88" t="str">
            <v/>
          </cell>
          <cell r="AC88">
            <v>219.42099999999999</v>
          </cell>
        </row>
        <row r="89">
          <cell r="C89" t="str">
            <v>01P13</v>
          </cell>
          <cell r="D89" t="str">
            <v>CD4E Adaptive Engagement</v>
          </cell>
          <cell r="E89">
            <v>36951</v>
          </cell>
          <cell r="F89" t="str">
            <v>THUHTALA</v>
          </cell>
          <cell r="G89" t="str">
            <v xml:space="preserve"> P S  T</v>
          </cell>
          <cell r="H89">
            <v>5.8710000000000004</v>
          </cell>
          <cell r="I89" t="str">
            <v/>
          </cell>
          <cell r="J89">
            <v>5.8710000000000004</v>
          </cell>
          <cell r="K89">
            <v>8.9999999999999993E-3</v>
          </cell>
          <cell r="L89" t="str">
            <v/>
          </cell>
          <cell r="M89">
            <v>8.9999999999999993E-3</v>
          </cell>
          <cell r="N89">
            <v>0.6</v>
          </cell>
          <cell r="O89">
            <v>2.4</v>
          </cell>
          <cell r="P89">
            <v>8.8800000000000008</v>
          </cell>
          <cell r="Q89" t="str">
            <v/>
          </cell>
          <cell r="R89">
            <v>0.76300000000000001</v>
          </cell>
          <cell r="S89">
            <v>5.1079999999999997</v>
          </cell>
          <cell r="T89" t="str">
            <v/>
          </cell>
          <cell r="U89" t="str">
            <v/>
          </cell>
          <cell r="V89" t="str">
            <v/>
          </cell>
          <cell r="W89" t="str">
            <v/>
          </cell>
          <cell r="X89" t="str">
            <v/>
          </cell>
          <cell r="Y89" t="str">
            <v/>
          </cell>
          <cell r="Z89" t="str">
            <v/>
          </cell>
          <cell r="AA89" t="str">
            <v/>
          </cell>
          <cell r="AB89" t="str">
            <v/>
          </cell>
          <cell r="AC89">
            <v>5.8710000000000004</v>
          </cell>
        </row>
        <row r="90">
          <cell r="C90" t="str">
            <v>01P15</v>
          </cell>
          <cell r="D90" t="str">
            <v>Powertrain Cost Reductions</v>
          </cell>
          <cell r="E90">
            <v>37073</v>
          </cell>
          <cell r="F90" t="str">
            <v>EBRUMO</v>
          </cell>
          <cell r="G90" t="str">
            <v xml:space="preserve">  ASV T</v>
          </cell>
          <cell r="H90">
            <v>28.277999999999999</v>
          </cell>
          <cell r="I90">
            <v>6.0789999999999997</v>
          </cell>
          <cell r="J90">
            <v>34.356999999999999</v>
          </cell>
          <cell r="K90">
            <v>0.81799999999999995</v>
          </cell>
          <cell r="L90">
            <v>0.51900000000000002</v>
          </cell>
          <cell r="M90">
            <v>1.337</v>
          </cell>
          <cell r="N90">
            <v>0.72599999999999998</v>
          </cell>
          <cell r="O90">
            <v>1.9179999999999999</v>
          </cell>
          <cell r="P90">
            <v>38.338000000000001</v>
          </cell>
          <cell r="Q90">
            <v>0.29499999999999998</v>
          </cell>
          <cell r="R90">
            <v>13.698</v>
          </cell>
          <cell r="S90">
            <v>20.047999999999998</v>
          </cell>
          <cell r="T90">
            <v>0.316</v>
          </cell>
          <cell r="U90" t="str">
            <v/>
          </cell>
          <cell r="V90" t="str">
            <v/>
          </cell>
          <cell r="W90" t="str">
            <v/>
          </cell>
          <cell r="X90" t="str">
            <v/>
          </cell>
          <cell r="Y90" t="str">
            <v/>
          </cell>
          <cell r="Z90" t="str">
            <v/>
          </cell>
          <cell r="AA90" t="str">
            <v/>
          </cell>
          <cell r="AB90" t="str">
            <v/>
          </cell>
          <cell r="AC90">
            <v>34.061999999999998</v>
          </cell>
        </row>
        <row r="91">
          <cell r="C91" t="str">
            <v>01P17</v>
          </cell>
          <cell r="D91" t="str">
            <v>CD4E Trans for I4/I5</v>
          </cell>
          <cell r="E91">
            <v>36739</v>
          </cell>
          <cell r="F91" t="str">
            <v>THUHTALA</v>
          </cell>
          <cell r="G91" t="str">
            <v xml:space="preserve">  ASV T</v>
          </cell>
          <cell r="H91">
            <v>4.7249999999999996</v>
          </cell>
          <cell r="I91">
            <v>2E-3</v>
          </cell>
          <cell r="J91">
            <v>4.7270000000000003</v>
          </cell>
          <cell r="K91">
            <v>1.1819999999999999</v>
          </cell>
          <cell r="L91">
            <v>1E-3</v>
          </cell>
          <cell r="M91">
            <v>1.1830000000000001</v>
          </cell>
          <cell r="N91" t="str">
            <v/>
          </cell>
          <cell r="O91">
            <v>4.2</v>
          </cell>
          <cell r="P91">
            <v>10.11</v>
          </cell>
          <cell r="Q91">
            <v>0.38900000000000001</v>
          </cell>
          <cell r="R91">
            <v>1.74</v>
          </cell>
          <cell r="S91">
            <v>2.5960000000000001</v>
          </cell>
          <cell r="T91" t="str">
            <v/>
          </cell>
          <cell r="U91" t="str">
            <v/>
          </cell>
          <cell r="V91">
            <v>2E-3</v>
          </cell>
          <cell r="W91" t="str">
            <v/>
          </cell>
          <cell r="X91" t="str">
            <v/>
          </cell>
          <cell r="Y91" t="str">
            <v/>
          </cell>
          <cell r="Z91" t="str">
            <v/>
          </cell>
          <cell r="AA91" t="str">
            <v/>
          </cell>
          <cell r="AB91" t="str">
            <v/>
          </cell>
          <cell r="AC91">
            <v>4.3380000000000001</v>
          </cell>
        </row>
        <row r="92">
          <cell r="C92" t="str">
            <v>01P18</v>
          </cell>
          <cell r="D92" t="str">
            <v>AX4N/S High Mileage Upgrade</v>
          </cell>
          <cell r="E92">
            <v>37104</v>
          </cell>
          <cell r="F92" t="str">
            <v>KMCCUSKE</v>
          </cell>
          <cell r="G92" t="str">
            <v xml:space="preserve">  ASV T</v>
          </cell>
          <cell r="H92">
            <v>18.690999999999999</v>
          </cell>
          <cell r="I92">
            <v>38.405000000000001</v>
          </cell>
          <cell r="J92">
            <v>57.095999999999997</v>
          </cell>
          <cell r="K92">
            <v>0.995</v>
          </cell>
          <cell r="L92">
            <v>4.9089999999999998</v>
          </cell>
          <cell r="M92">
            <v>5.9039999999999999</v>
          </cell>
          <cell r="N92">
            <v>5</v>
          </cell>
          <cell r="O92">
            <v>30</v>
          </cell>
          <cell r="P92">
            <v>98</v>
          </cell>
          <cell r="Q92">
            <v>2.8000000000000001E-2</v>
          </cell>
          <cell r="R92">
            <v>25.62</v>
          </cell>
          <cell r="S92">
            <v>30.452999999999999</v>
          </cell>
          <cell r="T92">
            <v>0.995</v>
          </cell>
          <cell r="U92" t="str">
            <v/>
          </cell>
          <cell r="V92" t="str">
            <v/>
          </cell>
          <cell r="W92" t="str">
            <v/>
          </cell>
          <cell r="X92" t="str">
            <v/>
          </cell>
          <cell r="Y92" t="str">
            <v/>
          </cell>
          <cell r="Z92" t="str">
            <v/>
          </cell>
          <cell r="AA92" t="str">
            <v/>
          </cell>
          <cell r="AB92" t="str">
            <v/>
          </cell>
          <cell r="AC92">
            <v>57.067999999999998</v>
          </cell>
        </row>
        <row r="93">
          <cell r="C93" t="str">
            <v>01P19</v>
          </cell>
          <cell r="D93" t="str">
            <v>I4/Diesel Eng. Protype</v>
          </cell>
          <cell r="E93">
            <v>36739</v>
          </cell>
          <cell r="F93" t="str">
            <v>ABARRET1</v>
          </cell>
          <cell r="G93" t="str">
            <v xml:space="preserve"> PASV T</v>
          </cell>
          <cell r="H93">
            <v>3.2000000000000001E-2</v>
          </cell>
          <cell r="I93" t="str">
            <v/>
          </cell>
          <cell r="J93">
            <v>3.2000000000000001E-2</v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 t="str">
            <v/>
          </cell>
          <cell r="P93">
            <v>3.2000000000000001E-2</v>
          </cell>
          <cell r="Q93" t="str">
            <v/>
          </cell>
          <cell r="R93">
            <v>3.2000000000000001E-2</v>
          </cell>
          <cell r="S93" t="str">
            <v/>
          </cell>
          <cell r="T93" t="str">
            <v/>
          </cell>
          <cell r="U93" t="str">
            <v/>
          </cell>
          <cell r="V93" t="str">
            <v/>
          </cell>
          <cell r="W93" t="str">
            <v/>
          </cell>
          <cell r="X93" t="str">
            <v/>
          </cell>
          <cell r="Y93" t="str">
            <v/>
          </cell>
          <cell r="Z93" t="str">
            <v/>
          </cell>
          <cell r="AA93" t="str">
            <v/>
          </cell>
          <cell r="AB93" t="str">
            <v/>
          </cell>
          <cell r="AC93">
            <v>3.2000000000000001E-2</v>
          </cell>
        </row>
        <row r="94">
          <cell r="C94" t="str">
            <v>01P25</v>
          </cell>
          <cell r="D94" t="str">
            <v>4.6L 2V Compression Upgrade</v>
          </cell>
          <cell r="E94">
            <v>37104</v>
          </cell>
          <cell r="F94" t="str">
            <v>TMOSTILE</v>
          </cell>
          <cell r="G94" t="str">
            <v xml:space="preserve"> PASV T</v>
          </cell>
          <cell r="H94">
            <v>3.5999999999999997E-2</v>
          </cell>
          <cell r="I94">
            <v>5.7000000000000002E-2</v>
          </cell>
          <cell r="J94">
            <v>9.2999999999999999E-2</v>
          </cell>
          <cell r="K94">
            <v>4.0000000000000001E-3</v>
          </cell>
          <cell r="L94">
            <v>5.0000000000000001E-3</v>
          </cell>
          <cell r="M94">
            <v>8.9999999999999993E-3</v>
          </cell>
          <cell r="N94">
            <v>0.05</v>
          </cell>
          <cell r="O94">
            <v>0.35</v>
          </cell>
          <cell r="P94">
            <v>0.502</v>
          </cell>
          <cell r="Q94" t="str">
            <v/>
          </cell>
          <cell r="R94">
            <v>4.5999999999999999E-2</v>
          </cell>
          <cell r="S94">
            <v>4.7E-2</v>
          </cell>
          <cell r="T94" t="str">
            <v/>
          </cell>
          <cell r="U94" t="str">
            <v/>
          </cell>
          <cell r="V94" t="str">
            <v/>
          </cell>
          <cell r="W94" t="str">
            <v/>
          </cell>
          <cell r="X94" t="str">
            <v/>
          </cell>
          <cell r="Y94" t="str">
            <v/>
          </cell>
          <cell r="Z94" t="str">
            <v/>
          </cell>
          <cell r="AA94" t="str">
            <v/>
          </cell>
          <cell r="AB94" t="str">
            <v/>
          </cell>
          <cell r="AC94">
            <v>9.2999999999999999E-2</v>
          </cell>
        </row>
        <row r="95">
          <cell r="C95" t="str">
            <v>01P29</v>
          </cell>
          <cell r="D95" t="str">
            <v>Car/Trk Cap--01MY, REP</v>
          </cell>
          <cell r="E95">
            <v>37012</v>
          </cell>
          <cell r="F95" t="str">
            <v>TMOSTILE</v>
          </cell>
          <cell r="G95" t="str">
            <v xml:space="preserve"> PASVCT</v>
          </cell>
          <cell r="H95">
            <v>32.734999999999999</v>
          </cell>
          <cell r="I95">
            <v>78.989999999999995</v>
          </cell>
          <cell r="J95">
            <v>111.72499999999999</v>
          </cell>
          <cell r="K95" t="str">
            <v/>
          </cell>
          <cell r="L95">
            <v>4.1500000000000004</v>
          </cell>
          <cell r="M95">
            <v>4.1500000000000004</v>
          </cell>
          <cell r="N95">
            <v>8.0879999999999992</v>
          </cell>
          <cell r="O95" t="str">
            <v/>
          </cell>
          <cell r="P95">
            <v>123.96299999999999</v>
          </cell>
          <cell r="Q95" t="str">
            <v/>
          </cell>
          <cell r="R95">
            <v>41.951999999999998</v>
          </cell>
          <cell r="S95">
            <v>61.140999999999998</v>
          </cell>
          <cell r="T95">
            <v>8.6319999999999997</v>
          </cell>
          <cell r="U95" t="str">
            <v/>
          </cell>
          <cell r="V95" t="str">
            <v/>
          </cell>
          <cell r="W95" t="str">
            <v/>
          </cell>
          <cell r="X95" t="str">
            <v/>
          </cell>
          <cell r="Y95" t="str">
            <v/>
          </cell>
          <cell r="Z95" t="str">
            <v/>
          </cell>
          <cell r="AA95" t="str">
            <v/>
          </cell>
          <cell r="AB95" t="str">
            <v/>
          </cell>
          <cell r="AC95">
            <v>111.72499999999999</v>
          </cell>
        </row>
        <row r="96">
          <cell r="C96" t="str">
            <v>01P30</v>
          </cell>
          <cell r="D96" t="str">
            <v>(G) Romeo 100% Power Improv</v>
          </cell>
          <cell r="E96">
            <v>36784</v>
          </cell>
          <cell r="F96" t="str">
            <v>TMOSTILE</v>
          </cell>
          <cell r="G96" t="str">
            <v xml:space="preserve"> PAS  T</v>
          </cell>
          <cell r="H96">
            <v>19.201000000000001</v>
          </cell>
          <cell r="I96">
            <v>9.4990000000000006</v>
          </cell>
          <cell r="J96">
            <v>28.7</v>
          </cell>
          <cell r="K96">
            <v>0.376</v>
          </cell>
          <cell r="L96">
            <v>8.5670000000000002</v>
          </cell>
          <cell r="M96">
            <v>8.9429999999999996</v>
          </cell>
          <cell r="N96">
            <v>2.931</v>
          </cell>
          <cell r="O96">
            <v>32.4</v>
          </cell>
          <cell r="P96">
            <v>72.974000000000004</v>
          </cell>
          <cell r="Q96">
            <v>1.056</v>
          </cell>
          <cell r="R96">
            <v>18.326000000000001</v>
          </cell>
          <cell r="S96">
            <v>9.3179999999999996</v>
          </cell>
          <cell r="T96" t="str">
            <v/>
          </cell>
          <cell r="U96" t="str">
            <v/>
          </cell>
          <cell r="V96" t="str">
            <v/>
          </cell>
          <cell r="W96" t="str">
            <v/>
          </cell>
          <cell r="X96" t="str">
            <v/>
          </cell>
          <cell r="Y96" t="str">
            <v/>
          </cell>
          <cell r="Z96" t="str">
            <v/>
          </cell>
          <cell r="AA96" t="str">
            <v/>
          </cell>
          <cell r="AB96" t="str">
            <v/>
          </cell>
          <cell r="AC96">
            <v>27.643999999999998</v>
          </cell>
        </row>
        <row r="97">
          <cell r="C97" t="str">
            <v>01P31</v>
          </cell>
          <cell r="D97" t="str">
            <v>(G) Romeo Low Vol. Asy Line</v>
          </cell>
          <cell r="E97">
            <v>36739</v>
          </cell>
          <cell r="F97" t="str">
            <v>TMOSTILE</v>
          </cell>
          <cell r="G97" t="str">
            <v xml:space="preserve"> PASV T</v>
          </cell>
          <cell r="H97">
            <v>11.696999999999999</v>
          </cell>
          <cell r="I97">
            <v>53.465000000000003</v>
          </cell>
          <cell r="J97">
            <v>65.162000000000006</v>
          </cell>
          <cell r="K97">
            <v>0.61299999999999999</v>
          </cell>
          <cell r="L97">
            <v>4.6550000000000002</v>
          </cell>
          <cell r="M97">
            <v>5.2679999999999998</v>
          </cell>
          <cell r="N97">
            <v>5.3</v>
          </cell>
          <cell r="O97" t="str">
            <v/>
          </cell>
          <cell r="P97">
            <v>75.73</v>
          </cell>
          <cell r="Q97">
            <v>15.789</v>
          </cell>
          <cell r="R97">
            <v>45.576000000000001</v>
          </cell>
          <cell r="S97">
            <v>3.7970000000000002</v>
          </cell>
          <cell r="T97" t="str">
            <v/>
          </cell>
          <cell r="U97" t="str">
            <v/>
          </cell>
          <cell r="V97" t="str">
            <v/>
          </cell>
          <cell r="W97" t="str">
            <v/>
          </cell>
          <cell r="X97" t="str">
            <v/>
          </cell>
          <cell r="Y97" t="str">
            <v/>
          </cell>
          <cell r="Z97" t="str">
            <v/>
          </cell>
          <cell r="AA97" t="str">
            <v/>
          </cell>
          <cell r="AB97" t="str">
            <v/>
          </cell>
          <cell r="AC97">
            <v>49.372999999999998</v>
          </cell>
        </row>
        <row r="98">
          <cell r="C98" t="str">
            <v>01P39</v>
          </cell>
          <cell r="D98" t="str">
            <v>4V Head Outsourcing Pgm</v>
          </cell>
          <cell r="E98">
            <v>36831</v>
          </cell>
          <cell r="F98" t="str">
            <v>PPARASKO</v>
          </cell>
          <cell r="G98" t="str">
            <v xml:space="preserve">  ASVCT</v>
          </cell>
          <cell r="H98">
            <v>6.5</v>
          </cell>
          <cell r="I98" t="str">
            <v/>
          </cell>
          <cell r="J98">
            <v>6.5</v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>
            <v>6.5</v>
          </cell>
          <cell r="Q98" t="str">
            <v/>
          </cell>
          <cell r="R98">
            <v>3.8820000000000001</v>
          </cell>
          <cell r="S98">
            <v>2.38</v>
          </cell>
          <cell r="T98">
            <v>0.23799999999999999</v>
          </cell>
          <cell r="U98" t="str">
            <v/>
          </cell>
          <cell r="V98" t="str">
            <v/>
          </cell>
          <cell r="W98" t="str">
            <v/>
          </cell>
          <cell r="X98" t="str">
            <v/>
          </cell>
          <cell r="Y98" t="str">
            <v/>
          </cell>
          <cell r="Z98" t="str">
            <v/>
          </cell>
          <cell r="AA98" t="str">
            <v/>
          </cell>
          <cell r="AB98" t="str">
            <v/>
          </cell>
          <cell r="AC98">
            <v>6.5</v>
          </cell>
        </row>
        <row r="99">
          <cell r="C99" t="str">
            <v>01P40</v>
          </cell>
          <cell r="D99" t="str">
            <v>DURATEC VALUE PROGRAM</v>
          </cell>
          <cell r="E99">
            <v>36739</v>
          </cell>
          <cell r="F99" t="str">
            <v>DDESCHAM</v>
          </cell>
          <cell r="G99" t="str">
            <v xml:space="preserve"> PASV T</v>
          </cell>
          <cell r="H99">
            <v>14.659000000000001</v>
          </cell>
          <cell r="I99">
            <v>3.831</v>
          </cell>
          <cell r="J99">
            <v>18.489999999999998</v>
          </cell>
          <cell r="K99">
            <v>0.30199999999999999</v>
          </cell>
          <cell r="L99">
            <v>4.1609999999999996</v>
          </cell>
          <cell r="M99">
            <v>4.4630000000000001</v>
          </cell>
          <cell r="N99">
            <v>1.9</v>
          </cell>
          <cell r="O99">
            <v>10</v>
          </cell>
          <cell r="P99">
            <v>34.853000000000002</v>
          </cell>
          <cell r="Q99">
            <v>1.36</v>
          </cell>
          <cell r="R99">
            <v>10.099</v>
          </cell>
          <cell r="S99">
            <v>7.0309999999999997</v>
          </cell>
          <cell r="T99" t="str">
            <v/>
          </cell>
          <cell r="U99" t="str">
            <v/>
          </cell>
          <cell r="V99" t="str">
            <v/>
          </cell>
          <cell r="W99" t="str">
            <v/>
          </cell>
          <cell r="X99" t="str">
            <v/>
          </cell>
          <cell r="Y99" t="str">
            <v/>
          </cell>
          <cell r="Z99" t="str">
            <v/>
          </cell>
          <cell r="AA99" t="str">
            <v/>
          </cell>
          <cell r="AB99" t="str">
            <v/>
          </cell>
          <cell r="AC99">
            <v>17.13</v>
          </cell>
        </row>
        <row r="100">
          <cell r="C100" t="str">
            <v>01P41</v>
          </cell>
          <cell r="D100" t="str">
            <v>Essex Engine Quality/NVH</v>
          </cell>
          <cell r="E100">
            <v>36739</v>
          </cell>
          <cell r="F100" t="str">
            <v>JGRASINS</v>
          </cell>
          <cell r="G100" t="str">
            <v xml:space="preserve"> PASV T</v>
          </cell>
          <cell r="H100">
            <v>10.811999999999999</v>
          </cell>
          <cell r="I100">
            <v>2.6850000000000001</v>
          </cell>
          <cell r="J100">
            <v>13.497</v>
          </cell>
          <cell r="K100">
            <v>0.221</v>
          </cell>
          <cell r="L100">
            <v>0.97399999999999998</v>
          </cell>
          <cell r="M100">
            <v>1.1950000000000001</v>
          </cell>
          <cell r="N100">
            <v>2.4079999999999999</v>
          </cell>
          <cell r="O100">
            <v>20.48</v>
          </cell>
          <cell r="P100">
            <v>37.58</v>
          </cell>
          <cell r="Q100">
            <v>2.181</v>
          </cell>
          <cell r="R100">
            <v>8.5380000000000003</v>
          </cell>
          <cell r="S100">
            <v>2.778</v>
          </cell>
          <cell r="T100" t="str">
            <v/>
          </cell>
          <cell r="U100" t="str">
            <v/>
          </cell>
          <cell r="V100" t="str">
            <v/>
          </cell>
          <cell r="W100" t="str">
            <v/>
          </cell>
          <cell r="X100" t="str">
            <v/>
          </cell>
          <cell r="Y100" t="str">
            <v/>
          </cell>
          <cell r="Z100" t="str">
            <v/>
          </cell>
          <cell r="AA100" t="str">
            <v/>
          </cell>
          <cell r="AB100" t="str">
            <v/>
          </cell>
          <cell r="AC100">
            <v>11.316000000000001</v>
          </cell>
        </row>
        <row r="101">
          <cell r="C101" t="str">
            <v>01P42</v>
          </cell>
          <cell r="D101" t="str">
            <v>CEPII Cooling Upgrd (Capac)</v>
          </cell>
          <cell r="E101">
            <v>36951</v>
          </cell>
          <cell r="F101" t="str">
            <v>DDESCHAM</v>
          </cell>
          <cell r="G101" t="str">
            <v xml:space="preserve">  ASVCT</v>
          </cell>
          <cell r="H101" t="str">
            <v/>
          </cell>
          <cell r="I101">
            <v>2.1720000000000002</v>
          </cell>
          <cell r="J101">
            <v>2.1720000000000002</v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 t="str">
            <v/>
          </cell>
          <cell r="P101">
            <v>2.1720000000000002</v>
          </cell>
          <cell r="Q101" t="str">
            <v/>
          </cell>
          <cell r="R101">
            <v>5.0000000000000001E-3</v>
          </cell>
          <cell r="S101">
            <v>2.1669999999999998</v>
          </cell>
          <cell r="T101" t="str">
            <v/>
          </cell>
          <cell r="U101" t="str">
            <v/>
          </cell>
          <cell r="V101" t="str">
            <v/>
          </cell>
          <cell r="W101" t="str">
            <v/>
          </cell>
          <cell r="X101" t="str">
            <v/>
          </cell>
          <cell r="Y101" t="str">
            <v/>
          </cell>
          <cell r="Z101" t="str">
            <v/>
          </cell>
          <cell r="AA101" t="str">
            <v/>
          </cell>
          <cell r="AB101" t="str">
            <v/>
          </cell>
          <cell r="AC101">
            <v>2.1720000000000002</v>
          </cell>
        </row>
        <row r="102">
          <cell r="C102" t="str">
            <v>01P50</v>
          </cell>
          <cell r="D102" t="str">
            <v>(G) 5.4L 4R100 A/T- Cal 1</v>
          </cell>
          <cell r="E102">
            <v>36831</v>
          </cell>
          <cell r="F102" t="str">
            <v>GLAVAUTE</v>
          </cell>
          <cell r="G102" t="str">
            <v xml:space="preserve"> P    T</v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>
            <v>0.5</v>
          </cell>
          <cell r="O102">
            <v>2.5</v>
          </cell>
          <cell r="P102">
            <v>3</v>
          </cell>
          <cell r="Q102" t="str">
            <v/>
          </cell>
          <cell r="R102" t="str">
            <v/>
          </cell>
          <cell r="S102" t="str">
            <v/>
          </cell>
          <cell r="T102" t="str">
            <v/>
          </cell>
          <cell r="U102" t="str">
            <v/>
          </cell>
          <cell r="V102" t="str">
            <v/>
          </cell>
          <cell r="W102" t="str">
            <v/>
          </cell>
          <cell r="X102" t="str">
            <v/>
          </cell>
          <cell r="Y102" t="str">
            <v/>
          </cell>
          <cell r="Z102" t="str">
            <v/>
          </cell>
          <cell r="AA102" t="str">
            <v/>
          </cell>
          <cell r="AB102" t="str">
            <v/>
          </cell>
          <cell r="AC102" t="str">
            <v/>
          </cell>
        </row>
        <row r="103">
          <cell r="C103" t="str">
            <v>01P65</v>
          </cell>
          <cell r="D103" t="str">
            <v>COLOGNE CONV TO 100% SOHC</v>
          </cell>
          <cell r="E103">
            <v>36739</v>
          </cell>
          <cell r="F103" t="str">
            <v>EWRIGHT</v>
          </cell>
          <cell r="G103" t="str">
            <v xml:space="preserve"> PASVCT</v>
          </cell>
          <cell r="H103">
            <v>1.3839999999999999</v>
          </cell>
          <cell r="I103" t="str">
            <v/>
          </cell>
          <cell r="J103">
            <v>1.3839999999999999</v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 t="str">
            <v/>
          </cell>
          <cell r="P103">
            <v>1.3839999999999999</v>
          </cell>
          <cell r="Q103">
            <v>0.79400000000000004</v>
          </cell>
          <cell r="R103">
            <v>0.59</v>
          </cell>
          <cell r="S103" t="str">
            <v/>
          </cell>
          <cell r="T103" t="str">
            <v/>
          </cell>
          <cell r="U103" t="str">
            <v/>
          </cell>
          <cell r="V103" t="str">
            <v/>
          </cell>
          <cell r="W103" t="str">
            <v/>
          </cell>
          <cell r="X103" t="str">
            <v/>
          </cell>
          <cell r="Y103" t="str">
            <v/>
          </cell>
          <cell r="Z103" t="str">
            <v/>
          </cell>
          <cell r="AA103" t="str">
            <v/>
          </cell>
          <cell r="AB103" t="str">
            <v/>
          </cell>
          <cell r="AC103">
            <v>0.59</v>
          </cell>
        </row>
        <row r="104">
          <cell r="C104" t="str">
            <v>01P86</v>
          </cell>
          <cell r="D104" t="str">
            <v>5R55W-TOOL (99F81,97Q86)</v>
          </cell>
          <cell r="E104">
            <v>36731</v>
          </cell>
          <cell r="F104" t="str">
            <v>DLUKAS1</v>
          </cell>
          <cell r="G104" t="str">
            <v xml:space="preserve"> PASV T</v>
          </cell>
          <cell r="H104" t="str">
            <v/>
          </cell>
          <cell r="I104" t="str">
            <v/>
          </cell>
          <cell r="J104" t="str">
            <v/>
          </cell>
          <cell r="K104">
            <v>0.16300000000000001</v>
          </cell>
          <cell r="L104" t="str">
            <v/>
          </cell>
          <cell r="M104">
            <v>0.16300000000000001</v>
          </cell>
          <cell r="N104" t="str">
            <v/>
          </cell>
          <cell r="O104">
            <v>18</v>
          </cell>
          <cell r="P104">
            <v>18.163</v>
          </cell>
          <cell r="Q104" t="str">
            <v/>
          </cell>
          <cell r="R104" t="str">
            <v/>
          </cell>
          <cell r="S104" t="str">
            <v/>
          </cell>
          <cell r="T104" t="str">
            <v/>
          </cell>
          <cell r="U104" t="str">
            <v/>
          </cell>
          <cell r="V104" t="str">
            <v/>
          </cell>
          <cell r="W104" t="str">
            <v/>
          </cell>
          <cell r="X104" t="str">
            <v/>
          </cell>
          <cell r="Y104" t="str">
            <v/>
          </cell>
          <cell r="Z104" t="str">
            <v/>
          </cell>
          <cell r="AA104" t="str">
            <v/>
          </cell>
          <cell r="AB104" t="str">
            <v/>
          </cell>
          <cell r="AC104" t="str">
            <v/>
          </cell>
        </row>
        <row r="105">
          <cell r="C105" t="str">
            <v>01P90</v>
          </cell>
          <cell r="D105" t="str">
            <v>CEP#2 / U204 Dunnage</v>
          </cell>
          <cell r="E105">
            <v>36861</v>
          </cell>
          <cell r="F105" t="str">
            <v>DDESCHAM</v>
          </cell>
          <cell r="G105" t="str">
            <v xml:space="preserve">  ASV T</v>
          </cell>
          <cell r="H105">
            <v>1.089</v>
          </cell>
          <cell r="I105">
            <v>0.69899999999999995</v>
          </cell>
          <cell r="J105">
            <v>1.788</v>
          </cell>
          <cell r="K105" t="str">
            <v/>
          </cell>
          <cell r="L105">
            <v>0.45300000000000001</v>
          </cell>
          <cell r="M105">
            <v>0.45300000000000001</v>
          </cell>
          <cell r="N105" t="str">
            <v/>
          </cell>
          <cell r="O105" t="str">
            <v/>
          </cell>
          <cell r="P105">
            <v>2.2410000000000001</v>
          </cell>
          <cell r="Q105" t="str">
            <v/>
          </cell>
          <cell r="R105">
            <v>1.788</v>
          </cell>
          <cell r="S105" t="str">
            <v/>
          </cell>
          <cell r="T105" t="str">
            <v/>
          </cell>
          <cell r="U105" t="str">
            <v/>
          </cell>
          <cell r="V105" t="str">
            <v/>
          </cell>
          <cell r="W105" t="str">
            <v/>
          </cell>
          <cell r="X105" t="str">
            <v/>
          </cell>
          <cell r="Y105" t="str">
            <v/>
          </cell>
          <cell r="Z105" t="str">
            <v/>
          </cell>
          <cell r="AA105" t="str">
            <v/>
          </cell>
          <cell r="AB105" t="str">
            <v/>
          </cell>
          <cell r="AC105">
            <v>1.788</v>
          </cell>
        </row>
        <row r="106">
          <cell r="C106" t="str">
            <v>01S39</v>
          </cell>
          <cell r="D106" t="str">
            <v>AJ6 2.5 DAMB - X400</v>
          </cell>
          <cell r="E106">
            <v>36861</v>
          </cell>
          <cell r="F106" t="str">
            <v>IKIRBY3</v>
          </cell>
          <cell r="G106" t="str">
            <v xml:space="preserve"> PASV T</v>
          </cell>
          <cell r="H106">
            <v>47.506999999999998</v>
          </cell>
          <cell r="I106">
            <v>53.115000000000002</v>
          </cell>
          <cell r="J106">
            <v>100.622</v>
          </cell>
          <cell r="K106">
            <v>2.1999999999999999E-2</v>
          </cell>
          <cell r="L106">
            <v>18.218</v>
          </cell>
          <cell r="M106">
            <v>18.239999999999998</v>
          </cell>
          <cell r="N106">
            <v>8.6</v>
          </cell>
          <cell r="O106">
            <v>31.4</v>
          </cell>
          <cell r="P106">
            <v>158.86199999999999</v>
          </cell>
          <cell r="Q106">
            <v>5.5659999999999998</v>
          </cell>
          <cell r="R106">
            <v>53.168999999999997</v>
          </cell>
          <cell r="S106">
            <v>39.130000000000003</v>
          </cell>
          <cell r="T106">
            <v>2.7570000000000001</v>
          </cell>
          <cell r="U106" t="str">
            <v/>
          </cell>
          <cell r="V106" t="str">
            <v/>
          </cell>
          <cell r="W106" t="str">
            <v/>
          </cell>
          <cell r="X106" t="str">
            <v/>
          </cell>
          <cell r="Y106" t="str">
            <v/>
          </cell>
          <cell r="Z106" t="str">
            <v/>
          </cell>
          <cell r="AA106" t="str">
            <v/>
          </cell>
          <cell r="AB106" t="str">
            <v/>
          </cell>
          <cell r="AC106">
            <v>95.055999999999997</v>
          </cell>
        </row>
        <row r="107">
          <cell r="C107" t="str">
            <v>02F81</v>
          </cell>
          <cell r="D107" t="str">
            <v>5R55N Shipping Racks</v>
          </cell>
          <cell r="E107">
            <v>37104</v>
          </cell>
          <cell r="F107" t="str">
            <v>DLUKAS1</v>
          </cell>
          <cell r="G107" t="str">
            <v xml:space="preserve">   S  T</v>
          </cell>
          <cell r="H107" t="str">
            <v/>
          </cell>
          <cell r="I107">
            <v>0.46500000000000002</v>
          </cell>
          <cell r="J107">
            <v>0.46500000000000002</v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 t="str">
            <v/>
          </cell>
          <cell r="P107">
            <v>0.46500000000000002</v>
          </cell>
          <cell r="Q107" t="str">
            <v/>
          </cell>
          <cell r="R107" t="str">
            <v/>
          </cell>
          <cell r="S107">
            <v>0.36699999999999999</v>
          </cell>
          <cell r="T107">
            <v>0.08</v>
          </cell>
          <cell r="U107">
            <v>1.7999999999999999E-2</v>
          </cell>
          <cell r="V107" t="str">
            <v/>
          </cell>
          <cell r="W107" t="str">
            <v/>
          </cell>
          <cell r="X107" t="str">
            <v/>
          </cell>
          <cell r="Y107" t="str">
            <v/>
          </cell>
          <cell r="Z107" t="str">
            <v/>
          </cell>
          <cell r="AA107" t="str">
            <v/>
          </cell>
          <cell r="AB107" t="str">
            <v/>
          </cell>
          <cell r="AC107">
            <v>0.46500000000000002</v>
          </cell>
        </row>
        <row r="108">
          <cell r="C108" t="str">
            <v>02N01</v>
          </cell>
          <cell r="D108" t="str">
            <v>SN95 GT Emis-Strat. Add-LEV</v>
          </cell>
          <cell r="E108">
            <v>37196</v>
          </cell>
          <cell r="F108" t="str">
            <v>MDILS</v>
          </cell>
          <cell r="G108" t="str">
            <v xml:space="preserve"> P S  T</v>
          </cell>
          <cell r="H108">
            <v>0.16600000000000001</v>
          </cell>
          <cell r="I108">
            <v>1.7999999999999999E-2</v>
          </cell>
          <cell r="J108">
            <v>0.184</v>
          </cell>
          <cell r="K108">
            <v>1.4E-2</v>
          </cell>
          <cell r="L108">
            <v>2E-3</v>
          </cell>
          <cell r="M108">
            <v>1.6E-2</v>
          </cell>
          <cell r="N108" t="str">
            <v/>
          </cell>
          <cell r="O108">
            <v>10.3</v>
          </cell>
          <cell r="P108">
            <v>10.5</v>
          </cell>
          <cell r="Q108" t="str">
            <v/>
          </cell>
          <cell r="R108">
            <v>0</v>
          </cell>
          <cell r="S108">
            <v>0.13300000000000001</v>
          </cell>
          <cell r="T108">
            <v>5.0999999999999997E-2</v>
          </cell>
          <cell r="U108" t="str">
            <v/>
          </cell>
          <cell r="V108" t="str">
            <v/>
          </cell>
          <cell r="W108" t="str">
            <v/>
          </cell>
          <cell r="X108" t="str">
            <v/>
          </cell>
          <cell r="Y108" t="str">
            <v/>
          </cell>
          <cell r="Z108" t="str">
            <v/>
          </cell>
          <cell r="AA108" t="str">
            <v/>
          </cell>
          <cell r="AB108" t="str">
            <v/>
          </cell>
          <cell r="AC108">
            <v>0.184</v>
          </cell>
        </row>
        <row r="109">
          <cell r="C109" t="str">
            <v>02P00</v>
          </cell>
          <cell r="D109" t="str">
            <v>Expand Lima V8 Capacity-6K</v>
          </cell>
          <cell r="E109">
            <v>37104</v>
          </cell>
          <cell r="F109" t="str">
            <v>GBECHARD</v>
          </cell>
          <cell r="G109" t="str">
            <v xml:space="preserve"> PASVCT</v>
          </cell>
          <cell r="H109">
            <v>3.8</v>
          </cell>
          <cell r="I109">
            <v>0.48499999999999999</v>
          </cell>
          <cell r="J109">
            <v>4.2850000000000001</v>
          </cell>
          <cell r="K109" t="str">
            <v/>
          </cell>
          <cell r="L109">
            <v>3.5000000000000003E-2</v>
          </cell>
          <cell r="M109">
            <v>3.5000000000000003E-2</v>
          </cell>
          <cell r="N109">
            <v>2.5299999999999998</v>
          </cell>
          <cell r="O109" t="str">
            <v/>
          </cell>
          <cell r="P109">
            <v>6.85</v>
          </cell>
          <cell r="Q109" t="str">
            <v/>
          </cell>
          <cell r="R109">
            <v>1.2869999999999999</v>
          </cell>
          <cell r="S109">
            <v>2.3450000000000002</v>
          </cell>
          <cell r="T109">
            <v>0.65300000000000002</v>
          </cell>
          <cell r="U109" t="str">
            <v/>
          </cell>
          <cell r="V109" t="str">
            <v/>
          </cell>
          <cell r="W109" t="str">
            <v/>
          </cell>
          <cell r="X109" t="str">
            <v/>
          </cell>
          <cell r="Y109" t="str">
            <v/>
          </cell>
          <cell r="Z109" t="str">
            <v/>
          </cell>
          <cell r="AA109" t="str">
            <v/>
          </cell>
          <cell r="AB109" t="str">
            <v/>
          </cell>
          <cell r="AC109">
            <v>4.2850000000000001</v>
          </cell>
        </row>
        <row r="110">
          <cell r="C110" t="str">
            <v>02P02</v>
          </cell>
          <cell r="D110" t="str">
            <v>5R55S-Revise O/D Gear - FE</v>
          </cell>
          <cell r="E110">
            <v>37104</v>
          </cell>
          <cell r="F110" t="str">
            <v>CSHORT</v>
          </cell>
          <cell r="G110" t="str">
            <v xml:space="preserve"> PASV T</v>
          </cell>
          <cell r="H110">
            <v>1.2430000000000001</v>
          </cell>
          <cell r="I110">
            <v>1.349</v>
          </cell>
          <cell r="J110">
            <v>2.5920000000000001</v>
          </cell>
          <cell r="K110">
            <v>0.106</v>
          </cell>
          <cell r="L110">
            <v>0.11799999999999999</v>
          </cell>
          <cell r="M110">
            <v>0.224</v>
          </cell>
          <cell r="N110">
            <v>0.30299999999999999</v>
          </cell>
          <cell r="O110">
            <v>1.111</v>
          </cell>
          <cell r="P110">
            <v>4.2300000000000004</v>
          </cell>
          <cell r="Q110" t="str">
            <v/>
          </cell>
          <cell r="R110">
            <v>0.53300000000000003</v>
          </cell>
          <cell r="S110">
            <v>2.0590000000000002</v>
          </cell>
          <cell r="T110" t="str">
            <v/>
          </cell>
          <cell r="U110" t="str">
            <v/>
          </cell>
          <cell r="V110" t="str">
            <v/>
          </cell>
          <cell r="W110" t="str">
            <v/>
          </cell>
          <cell r="X110" t="str">
            <v/>
          </cell>
          <cell r="Y110" t="str">
            <v/>
          </cell>
          <cell r="Z110" t="str">
            <v/>
          </cell>
          <cell r="AA110" t="str">
            <v/>
          </cell>
          <cell r="AB110" t="str">
            <v/>
          </cell>
          <cell r="AC110">
            <v>2.5920000000000001</v>
          </cell>
        </row>
        <row r="111">
          <cell r="C111" t="str">
            <v>02P04</v>
          </cell>
          <cell r="D111" t="str">
            <v>Emissions Test Facils</v>
          </cell>
          <cell r="E111">
            <v>37135</v>
          </cell>
          <cell r="F111" t="str">
            <v>MDILS</v>
          </cell>
          <cell r="G111" t="str">
            <v>R ASV T</v>
          </cell>
          <cell r="H111" t="str">
            <v/>
          </cell>
          <cell r="I111">
            <v>0.497</v>
          </cell>
          <cell r="J111">
            <v>0.497</v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>
            <v>0.497</v>
          </cell>
          <cell r="Q111" t="str">
            <v/>
          </cell>
          <cell r="R111" t="str">
            <v/>
          </cell>
          <cell r="S111">
            <v>0.497</v>
          </cell>
          <cell r="T111" t="str">
            <v/>
          </cell>
          <cell r="U111" t="str">
            <v/>
          </cell>
          <cell r="V111" t="str">
            <v/>
          </cell>
          <cell r="W111" t="str">
            <v/>
          </cell>
          <cell r="X111" t="str">
            <v/>
          </cell>
          <cell r="Y111" t="str">
            <v/>
          </cell>
          <cell r="Z111" t="str">
            <v/>
          </cell>
          <cell r="AA111" t="str">
            <v/>
          </cell>
          <cell r="AB111" t="str">
            <v/>
          </cell>
          <cell r="AC111">
            <v>0.497</v>
          </cell>
        </row>
        <row r="112">
          <cell r="C112" t="str">
            <v>02P09</v>
          </cell>
          <cell r="D112" t="str">
            <v>LS Emissions Program</v>
          </cell>
          <cell r="E112">
            <v>37087</v>
          </cell>
          <cell r="F112" t="str">
            <v>JPRICE16</v>
          </cell>
          <cell r="G112" t="str">
            <v xml:space="preserve">  ASV  </v>
          </cell>
          <cell r="H112">
            <v>0.125</v>
          </cell>
          <cell r="I112" t="str">
            <v/>
          </cell>
          <cell r="J112">
            <v>0.125</v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>
            <v>0.125</v>
          </cell>
          <cell r="Q112" t="str">
            <v/>
          </cell>
          <cell r="R112" t="str">
            <v/>
          </cell>
          <cell r="S112">
            <v>0.125</v>
          </cell>
          <cell r="T112" t="str">
            <v/>
          </cell>
          <cell r="U112" t="str">
            <v/>
          </cell>
          <cell r="V112" t="str">
            <v/>
          </cell>
          <cell r="W112" t="str">
            <v/>
          </cell>
          <cell r="X112" t="str">
            <v/>
          </cell>
          <cell r="Y112" t="str">
            <v/>
          </cell>
          <cell r="Z112" t="str">
            <v/>
          </cell>
          <cell r="AA112" t="str">
            <v/>
          </cell>
          <cell r="AB112" t="str">
            <v/>
          </cell>
          <cell r="AC112">
            <v>0.125</v>
          </cell>
        </row>
        <row r="113">
          <cell r="C113" t="str">
            <v>02P16</v>
          </cell>
          <cell r="D113" t="str">
            <v>4.6/5.0/5.4L 4V Upgrade Pgm</v>
          </cell>
          <cell r="E113">
            <v>37104</v>
          </cell>
          <cell r="F113" t="str">
            <v>JGRASINS</v>
          </cell>
          <cell r="G113" t="str">
            <v xml:space="preserve">  ASV T</v>
          </cell>
          <cell r="H113">
            <v>3.8210000000000002</v>
          </cell>
          <cell r="I113">
            <v>2.2999999999999998</v>
          </cell>
          <cell r="J113">
            <v>6.1210000000000004</v>
          </cell>
          <cell r="K113">
            <v>0.82899999999999996</v>
          </cell>
          <cell r="L113">
            <v>0.57499999999999996</v>
          </cell>
          <cell r="M113">
            <v>1.4039999999999999</v>
          </cell>
          <cell r="N113">
            <v>0.75</v>
          </cell>
          <cell r="O113">
            <v>8.3000000000000007</v>
          </cell>
          <cell r="P113">
            <v>16.574999999999999</v>
          </cell>
          <cell r="Q113" t="str">
            <v/>
          </cell>
          <cell r="R113">
            <v>1.4259999999999999</v>
          </cell>
          <cell r="S113">
            <v>3.3029999999999999</v>
          </cell>
          <cell r="T113">
            <v>1.3919999999999999</v>
          </cell>
          <cell r="U113" t="str">
            <v/>
          </cell>
          <cell r="V113" t="str">
            <v/>
          </cell>
          <cell r="W113" t="str">
            <v/>
          </cell>
          <cell r="X113" t="str">
            <v/>
          </cell>
          <cell r="Y113" t="str">
            <v/>
          </cell>
          <cell r="Z113" t="str">
            <v/>
          </cell>
          <cell r="AA113" t="str">
            <v/>
          </cell>
          <cell r="AB113" t="str">
            <v/>
          </cell>
          <cell r="AC113">
            <v>6.1210000000000004</v>
          </cell>
        </row>
        <row r="114">
          <cell r="C114" t="str">
            <v>02P28</v>
          </cell>
          <cell r="D114" t="str">
            <v>Car/Trk Cap--02MY, WEP (5.4L)</v>
          </cell>
          <cell r="E114">
            <v>37196</v>
          </cell>
          <cell r="F114" t="str">
            <v>FOHEARN</v>
          </cell>
          <cell r="G114" t="str">
            <v xml:space="preserve"> PASVCT</v>
          </cell>
          <cell r="H114">
            <v>24.6</v>
          </cell>
          <cell r="I114">
            <v>5.9589999999999996</v>
          </cell>
          <cell r="J114">
            <v>30.559000000000001</v>
          </cell>
          <cell r="K114" t="str">
            <v/>
          </cell>
          <cell r="L114">
            <v>1.3049999999999999</v>
          </cell>
          <cell r="M114">
            <v>1.3049999999999999</v>
          </cell>
          <cell r="N114">
            <v>3.9</v>
          </cell>
          <cell r="O114" t="str">
            <v/>
          </cell>
          <cell r="P114">
            <v>35.764000000000003</v>
          </cell>
          <cell r="Q114" t="str">
            <v/>
          </cell>
          <cell r="R114">
            <v>0.57599999999999996</v>
          </cell>
          <cell r="S114">
            <v>18.183</v>
          </cell>
          <cell r="T114">
            <v>11.8</v>
          </cell>
          <cell r="U114" t="str">
            <v/>
          </cell>
          <cell r="V114" t="str">
            <v/>
          </cell>
          <cell r="W114" t="str">
            <v/>
          </cell>
          <cell r="X114" t="str">
            <v/>
          </cell>
          <cell r="Y114" t="str">
            <v/>
          </cell>
          <cell r="Z114" t="str">
            <v/>
          </cell>
          <cell r="AA114" t="str">
            <v/>
          </cell>
          <cell r="AB114" t="str">
            <v/>
          </cell>
          <cell r="AC114">
            <v>30.559000000000001</v>
          </cell>
        </row>
        <row r="115">
          <cell r="C115" t="str">
            <v>02P29</v>
          </cell>
          <cell r="D115" t="str">
            <v>Car/Trk Cap--02MY 4R70W</v>
          </cell>
          <cell r="E115">
            <v>37138</v>
          </cell>
          <cell r="F115" t="str">
            <v>KMCCUSKE</v>
          </cell>
          <cell r="G115" t="str">
            <v xml:space="preserve"> PASVCT</v>
          </cell>
          <cell r="H115">
            <v>37.354999999999997</v>
          </cell>
          <cell r="I115">
            <v>149.55600000000001</v>
          </cell>
          <cell r="J115">
            <v>186.911</v>
          </cell>
          <cell r="K115" t="str">
            <v/>
          </cell>
          <cell r="L115">
            <v>14.585000000000001</v>
          </cell>
          <cell r="M115">
            <v>14.585000000000001</v>
          </cell>
          <cell r="N115">
            <v>19.98</v>
          </cell>
          <cell r="O115" t="str">
            <v/>
          </cell>
          <cell r="P115">
            <v>221.476</v>
          </cell>
          <cell r="Q115" t="str">
            <v/>
          </cell>
          <cell r="R115">
            <v>1.996</v>
          </cell>
          <cell r="S115">
            <v>145.80500000000001</v>
          </cell>
          <cell r="T115">
            <v>39.11</v>
          </cell>
          <cell r="U115" t="str">
            <v/>
          </cell>
          <cell r="V115" t="str">
            <v/>
          </cell>
          <cell r="W115" t="str">
            <v/>
          </cell>
          <cell r="X115" t="str">
            <v/>
          </cell>
          <cell r="Y115" t="str">
            <v/>
          </cell>
          <cell r="Z115" t="str">
            <v/>
          </cell>
          <cell r="AA115" t="str">
            <v/>
          </cell>
          <cell r="AB115" t="str">
            <v/>
          </cell>
          <cell r="AC115">
            <v>186.911</v>
          </cell>
        </row>
        <row r="116">
          <cell r="C116" t="str">
            <v>02P32</v>
          </cell>
          <cell r="D116" t="str">
            <v>3.0L V6 Vulcan FE Upgrades</v>
          </cell>
          <cell r="E116">
            <v>37104</v>
          </cell>
          <cell r="F116" t="str">
            <v>GBECHARD</v>
          </cell>
          <cell r="G116" t="str">
            <v xml:space="preserve">  ASV T</v>
          </cell>
          <cell r="H116">
            <v>7.0129999999999999</v>
          </cell>
          <cell r="I116">
            <v>1.899</v>
          </cell>
          <cell r="J116">
            <v>8.9120000000000008</v>
          </cell>
          <cell r="K116">
            <v>3.6999999999999998E-2</v>
          </cell>
          <cell r="L116">
            <v>0.114</v>
          </cell>
          <cell r="M116">
            <v>0.151</v>
          </cell>
          <cell r="N116">
            <v>1.0069999999999999</v>
          </cell>
          <cell r="O116">
            <v>12.608000000000001</v>
          </cell>
          <cell r="P116">
            <v>22.678000000000001</v>
          </cell>
          <cell r="Q116" t="str">
            <v/>
          </cell>
          <cell r="R116">
            <v>1.4930000000000001</v>
          </cell>
          <cell r="S116">
            <v>5.8739999999999997</v>
          </cell>
          <cell r="T116">
            <v>1.5449999999999999</v>
          </cell>
          <cell r="U116" t="str">
            <v/>
          </cell>
          <cell r="V116" t="str">
            <v/>
          </cell>
          <cell r="W116" t="str">
            <v/>
          </cell>
          <cell r="X116" t="str">
            <v/>
          </cell>
          <cell r="Y116" t="str">
            <v/>
          </cell>
          <cell r="Z116" t="str">
            <v/>
          </cell>
          <cell r="AA116" t="str">
            <v/>
          </cell>
          <cell r="AB116" t="str">
            <v/>
          </cell>
          <cell r="AC116">
            <v>8.9120000000000008</v>
          </cell>
        </row>
        <row r="117">
          <cell r="C117" t="str">
            <v>02P34</v>
          </cell>
          <cell r="D117" t="str">
            <v>PTO Customer Sat Ldrshp-02MY</v>
          </cell>
          <cell r="E117">
            <v>37104</v>
          </cell>
          <cell r="F117" t="str">
            <v>GLAVAUTE</v>
          </cell>
          <cell r="G117" t="str">
            <v xml:space="preserve">  ASV T</v>
          </cell>
          <cell r="H117">
            <v>8.4600000000000009</v>
          </cell>
          <cell r="I117">
            <v>0.81</v>
          </cell>
          <cell r="J117">
            <v>9.27</v>
          </cell>
          <cell r="K117">
            <v>0.94</v>
          </cell>
          <cell r="L117">
            <v>0.09</v>
          </cell>
          <cell r="M117">
            <v>1.03</v>
          </cell>
          <cell r="N117">
            <v>0.8</v>
          </cell>
          <cell r="O117">
            <v>1</v>
          </cell>
          <cell r="P117">
            <v>12.1</v>
          </cell>
          <cell r="Q117" t="str">
            <v/>
          </cell>
          <cell r="R117" t="str">
            <v/>
          </cell>
          <cell r="S117">
            <v>9.27</v>
          </cell>
          <cell r="T117" t="str">
            <v/>
          </cell>
          <cell r="U117" t="str">
            <v/>
          </cell>
          <cell r="V117" t="str">
            <v/>
          </cell>
          <cell r="W117" t="str">
            <v/>
          </cell>
          <cell r="X117" t="str">
            <v/>
          </cell>
          <cell r="Y117" t="str">
            <v/>
          </cell>
          <cell r="Z117" t="str">
            <v/>
          </cell>
          <cell r="AA117" t="str">
            <v/>
          </cell>
          <cell r="AB117" t="str">
            <v/>
          </cell>
          <cell r="AC117">
            <v>9.27</v>
          </cell>
        </row>
        <row r="118">
          <cell r="C118" t="str">
            <v>02P45</v>
          </cell>
          <cell r="D118" t="str">
            <v>(G) 3.0L Dur-Hi Perf in J71</v>
          </cell>
          <cell r="E118">
            <v>37530</v>
          </cell>
          <cell r="F118" t="str">
            <v>DDESCHAM</v>
          </cell>
          <cell r="G118" t="str">
            <v xml:space="preserve"> P S  T</v>
          </cell>
          <cell r="H118">
            <v>10.595000000000001</v>
          </cell>
          <cell r="I118">
            <v>15.397</v>
          </cell>
          <cell r="J118">
            <v>25.992000000000001</v>
          </cell>
          <cell r="K118">
            <v>0.44400000000000001</v>
          </cell>
          <cell r="L118">
            <v>0.56399999999999995</v>
          </cell>
          <cell r="M118">
            <v>1.008</v>
          </cell>
          <cell r="N118">
            <v>3.1</v>
          </cell>
          <cell r="O118">
            <v>4.9000000000000004</v>
          </cell>
          <cell r="P118">
            <v>35</v>
          </cell>
          <cell r="Q118" t="str">
            <v/>
          </cell>
          <cell r="R118">
            <v>0.14199999999999999</v>
          </cell>
          <cell r="S118">
            <v>12.047000000000001</v>
          </cell>
          <cell r="T118">
            <v>13.38</v>
          </cell>
          <cell r="U118">
            <v>0.42299999999999999</v>
          </cell>
          <cell r="V118" t="str">
            <v/>
          </cell>
          <cell r="W118" t="str">
            <v/>
          </cell>
          <cell r="X118" t="str">
            <v/>
          </cell>
          <cell r="Y118" t="str">
            <v/>
          </cell>
          <cell r="Z118" t="str">
            <v/>
          </cell>
          <cell r="AA118" t="str">
            <v/>
          </cell>
          <cell r="AB118" t="str">
            <v/>
          </cell>
          <cell r="AC118">
            <v>25.992000000000001</v>
          </cell>
        </row>
        <row r="119">
          <cell r="C119" t="str">
            <v>02P46</v>
          </cell>
          <cell r="D119" t="str">
            <v>2.3L I4 E-W Upg VVT BS VIS</v>
          </cell>
          <cell r="E119">
            <v>37408</v>
          </cell>
          <cell r="F119" t="str">
            <v>CPARKER5</v>
          </cell>
          <cell r="G119" t="str">
            <v xml:space="preserve">  ASV T</v>
          </cell>
          <cell r="H119">
            <v>36</v>
          </cell>
          <cell r="I119">
            <v>30.7</v>
          </cell>
          <cell r="J119">
            <v>66.7</v>
          </cell>
          <cell r="K119" t="str">
            <v/>
          </cell>
          <cell r="L119">
            <v>3.3</v>
          </cell>
          <cell r="M119">
            <v>3.3</v>
          </cell>
          <cell r="N119">
            <v>4</v>
          </cell>
          <cell r="O119">
            <v>11</v>
          </cell>
          <cell r="P119">
            <v>85</v>
          </cell>
          <cell r="Q119" t="str">
            <v/>
          </cell>
          <cell r="R119" t="str">
            <v/>
          </cell>
          <cell r="S119">
            <v>19.834</v>
          </cell>
          <cell r="T119">
            <v>39.090000000000003</v>
          </cell>
          <cell r="U119">
            <v>7.7759999999999998</v>
          </cell>
          <cell r="V119" t="str">
            <v/>
          </cell>
          <cell r="W119" t="str">
            <v/>
          </cell>
          <cell r="X119" t="str">
            <v/>
          </cell>
          <cell r="Y119" t="str">
            <v/>
          </cell>
          <cell r="Z119" t="str">
            <v/>
          </cell>
          <cell r="AA119" t="str">
            <v/>
          </cell>
          <cell r="AB119" t="str">
            <v/>
          </cell>
          <cell r="AC119">
            <v>66.7</v>
          </cell>
        </row>
        <row r="120">
          <cell r="C120" t="str">
            <v>02P50</v>
          </cell>
          <cell r="D120" t="str">
            <v>IAFM Cost Reduction</v>
          </cell>
          <cell r="E120">
            <v>37104</v>
          </cell>
          <cell r="F120" t="str">
            <v>FOHEARN</v>
          </cell>
          <cell r="G120" t="str">
            <v xml:space="preserve"> PASV T</v>
          </cell>
          <cell r="H120">
            <v>14.81</v>
          </cell>
          <cell r="I120">
            <v>3.9649999999999999</v>
          </cell>
          <cell r="J120">
            <v>18.774999999999999</v>
          </cell>
          <cell r="K120" t="str">
            <v/>
          </cell>
          <cell r="L120">
            <v>1.0129999999999999</v>
          </cell>
          <cell r="M120">
            <v>1.0129999999999999</v>
          </cell>
          <cell r="N120">
            <v>1.089</v>
          </cell>
          <cell r="O120">
            <v>10.715</v>
          </cell>
          <cell r="P120">
            <v>31.591999999999999</v>
          </cell>
          <cell r="Q120" t="str">
            <v/>
          </cell>
          <cell r="R120">
            <v>4.8339999999999996</v>
          </cell>
          <cell r="S120">
            <v>10.385</v>
          </cell>
          <cell r="T120">
            <v>3.556</v>
          </cell>
          <cell r="U120" t="str">
            <v/>
          </cell>
          <cell r="V120" t="str">
            <v/>
          </cell>
          <cell r="W120" t="str">
            <v/>
          </cell>
          <cell r="X120" t="str">
            <v/>
          </cell>
          <cell r="Y120" t="str">
            <v/>
          </cell>
          <cell r="Z120" t="str">
            <v/>
          </cell>
          <cell r="AA120" t="str">
            <v/>
          </cell>
          <cell r="AB120" t="str">
            <v/>
          </cell>
          <cell r="AC120">
            <v>18.774999999999999</v>
          </cell>
        </row>
        <row r="121">
          <cell r="C121" t="str">
            <v>02P51</v>
          </cell>
          <cell r="D121" t="str">
            <v>EGR System Module-Cost Red.</v>
          </cell>
          <cell r="E121">
            <v>37104</v>
          </cell>
          <cell r="F121" t="str">
            <v>MDILS</v>
          </cell>
          <cell r="G121" t="str">
            <v xml:space="preserve"> PASV T</v>
          </cell>
          <cell r="H121">
            <v>3.4319999999999999</v>
          </cell>
          <cell r="I121" t="str">
            <v/>
          </cell>
          <cell r="J121">
            <v>3.4319999999999999</v>
          </cell>
          <cell r="K121">
            <v>0.29799999999999999</v>
          </cell>
          <cell r="L121" t="str">
            <v/>
          </cell>
          <cell r="M121">
            <v>0.29799999999999999</v>
          </cell>
          <cell r="N121" t="str">
            <v/>
          </cell>
          <cell r="O121" t="str">
            <v/>
          </cell>
          <cell r="P121">
            <v>3.73</v>
          </cell>
          <cell r="Q121" t="str">
            <v/>
          </cell>
          <cell r="R121">
            <v>1.181</v>
          </cell>
          <cell r="S121">
            <v>1.8819999999999999</v>
          </cell>
          <cell r="T121">
            <v>0.36899999999999999</v>
          </cell>
          <cell r="U121" t="str">
            <v/>
          </cell>
          <cell r="V121" t="str">
            <v/>
          </cell>
          <cell r="W121" t="str">
            <v/>
          </cell>
          <cell r="X121" t="str">
            <v/>
          </cell>
          <cell r="Y121" t="str">
            <v/>
          </cell>
          <cell r="Z121" t="str">
            <v/>
          </cell>
          <cell r="AA121" t="str">
            <v/>
          </cell>
          <cell r="AB121" t="str">
            <v/>
          </cell>
          <cell r="AC121">
            <v>3.4319999999999999</v>
          </cell>
        </row>
        <row r="122">
          <cell r="C122" t="str">
            <v>02P63</v>
          </cell>
          <cell r="D122" t="str">
            <v>AX4N Cap Incr (AX4S Short Cyc)</v>
          </cell>
          <cell r="E122">
            <v>37438</v>
          </cell>
          <cell r="F122" t="str">
            <v>DLUKAS1</v>
          </cell>
          <cell r="G122" t="str">
            <v xml:space="preserve"> P S CT</v>
          </cell>
          <cell r="H122">
            <v>20.905000000000001</v>
          </cell>
          <cell r="I122">
            <v>62.113999999999997</v>
          </cell>
          <cell r="J122">
            <v>83.019000000000005</v>
          </cell>
          <cell r="K122">
            <v>1.75</v>
          </cell>
          <cell r="L122">
            <v>5.25</v>
          </cell>
          <cell r="M122">
            <v>7</v>
          </cell>
          <cell r="N122">
            <v>10</v>
          </cell>
          <cell r="O122" t="str">
            <v/>
          </cell>
          <cell r="P122">
            <v>100.01900000000001</v>
          </cell>
          <cell r="Q122" t="str">
            <v/>
          </cell>
          <cell r="R122" t="str">
            <v/>
          </cell>
          <cell r="S122">
            <v>19.585000000000001</v>
          </cell>
          <cell r="T122">
            <v>48.286000000000001</v>
          </cell>
          <cell r="U122">
            <v>15.148</v>
          </cell>
          <cell r="V122" t="str">
            <v/>
          </cell>
          <cell r="W122" t="str">
            <v/>
          </cell>
          <cell r="X122" t="str">
            <v/>
          </cell>
          <cell r="Y122" t="str">
            <v/>
          </cell>
          <cell r="Z122" t="str">
            <v/>
          </cell>
          <cell r="AA122" t="str">
            <v/>
          </cell>
          <cell r="AB122" t="str">
            <v/>
          </cell>
          <cell r="AC122">
            <v>83.019000000000005</v>
          </cell>
        </row>
        <row r="123">
          <cell r="C123" t="str">
            <v>02P66</v>
          </cell>
          <cell r="D123" t="str">
            <v>3.0 RFF Duratec Capacity</v>
          </cell>
          <cell r="E123">
            <v>37104</v>
          </cell>
          <cell r="F123" t="str">
            <v>DDESCHAM</v>
          </cell>
          <cell r="G123" t="str">
            <v xml:space="preserve"> PASVCT</v>
          </cell>
          <cell r="H123">
            <v>21.956</v>
          </cell>
          <cell r="I123">
            <v>44.704999999999998</v>
          </cell>
          <cell r="J123">
            <v>66.661000000000001</v>
          </cell>
          <cell r="K123">
            <v>5.4290000000000003</v>
          </cell>
          <cell r="L123">
            <v>6.4989999999999997</v>
          </cell>
          <cell r="M123">
            <v>11.928000000000001</v>
          </cell>
          <cell r="N123">
            <v>5.6</v>
          </cell>
          <cell r="O123" t="str">
            <v/>
          </cell>
          <cell r="P123">
            <v>84.188999999999993</v>
          </cell>
          <cell r="Q123">
            <v>0.216</v>
          </cell>
          <cell r="R123">
            <v>31.552</v>
          </cell>
          <cell r="S123">
            <v>32.036000000000001</v>
          </cell>
          <cell r="T123">
            <v>2.8570000000000002</v>
          </cell>
          <cell r="U123" t="str">
            <v/>
          </cell>
          <cell r="V123" t="str">
            <v/>
          </cell>
          <cell r="W123" t="str">
            <v/>
          </cell>
          <cell r="X123" t="str">
            <v/>
          </cell>
          <cell r="Y123" t="str">
            <v/>
          </cell>
          <cell r="Z123" t="str">
            <v/>
          </cell>
          <cell r="AA123" t="str">
            <v/>
          </cell>
          <cell r="AB123" t="str">
            <v/>
          </cell>
          <cell r="AC123">
            <v>66.444999999999993</v>
          </cell>
        </row>
        <row r="124">
          <cell r="C124" t="str">
            <v>02P67</v>
          </cell>
          <cell r="D124" t="str">
            <v>Duratec Cap Incr for D186/U204</v>
          </cell>
          <cell r="E124">
            <v>37104</v>
          </cell>
          <cell r="F124" t="str">
            <v>DDESCHAM</v>
          </cell>
          <cell r="G124" t="str">
            <v xml:space="preserve"> P S CT</v>
          </cell>
          <cell r="H124">
            <v>15.16</v>
          </cell>
          <cell r="I124">
            <v>9.77</v>
          </cell>
          <cell r="J124">
            <v>24.93</v>
          </cell>
          <cell r="K124">
            <v>3.1E-2</v>
          </cell>
          <cell r="L124">
            <v>0.55000000000000004</v>
          </cell>
          <cell r="M124">
            <v>0.58099999999999996</v>
          </cell>
          <cell r="N124">
            <v>1.45</v>
          </cell>
          <cell r="O124">
            <v>0.5</v>
          </cell>
          <cell r="P124">
            <v>27.460999999999999</v>
          </cell>
          <cell r="Q124" t="str">
            <v/>
          </cell>
          <cell r="R124" t="str">
            <v/>
          </cell>
          <cell r="S124">
            <v>11.346</v>
          </cell>
          <cell r="T124">
            <v>12.000999999999999</v>
          </cell>
          <cell r="U124">
            <v>1.583</v>
          </cell>
          <cell r="V124" t="str">
            <v/>
          </cell>
          <cell r="W124" t="str">
            <v/>
          </cell>
          <cell r="X124" t="str">
            <v/>
          </cell>
          <cell r="Y124" t="str">
            <v/>
          </cell>
          <cell r="Z124" t="str">
            <v/>
          </cell>
          <cell r="AA124" t="str">
            <v/>
          </cell>
          <cell r="AB124" t="str">
            <v/>
          </cell>
          <cell r="AC124">
            <v>24.93</v>
          </cell>
        </row>
        <row r="125">
          <cell r="C125" t="str">
            <v>02P80</v>
          </cell>
          <cell r="D125" t="str">
            <v>4R100 (E4OD) Capac. Phase II</v>
          </cell>
          <cell r="E125">
            <v>37073</v>
          </cell>
          <cell r="F125" t="str">
            <v>JCOMISKE</v>
          </cell>
          <cell r="G125" t="str">
            <v xml:space="preserve">  ASV  </v>
          </cell>
          <cell r="H125">
            <v>4.59</v>
          </cell>
          <cell r="I125">
            <v>3.0110000000000001</v>
          </cell>
          <cell r="J125">
            <v>7.601</v>
          </cell>
          <cell r="K125">
            <v>5.2999999999999999E-2</v>
          </cell>
          <cell r="L125">
            <v>1.042</v>
          </cell>
          <cell r="M125">
            <v>1.095</v>
          </cell>
          <cell r="N125">
            <v>4</v>
          </cell>
          <cell r="O125">
            <v>13.2</v>
          </cell>
          <cell r="P125">
            <v>25.896000000000001</v>
          </cell>
          <cell r="Q125" t="str">
            <v/>
          </cell>
          <cell r="R125">
            <v>2.9649999999999999</v>
          </cell>
          <cell r="S125">
            <v>4.5350000000000001</v>
          </cell>
          <cell r="T125">
            <v>0.10100000000000001</v>
          </cell>
          <cell r="U125" t="str">
            <v/>
          </cell>
          <cell r="V125" t="str">
            <v/>
          </cell>
          <cell r="W125" t="str">
            <v/>
          </cell>
          <cell r="X125" t="str">
            <v/>
          </cell>
          <cell r="Y125" t="str">
            <v/>
          </cell>
          <cell r="Z125" t="str">
            <v/>
          </cell>
          <cell r="AA125" t="str">
            <v/>
          </cell>
          <cell r="AB125" t="str">
            <v/>
          </cell>
          <cell r="AC125">
            <v>7.601</v>
          </cell>
        </row>
        <row r="126">
          <cell r="C126" t="str">
            <v>02S31</v>
          </cell>
          <cell r="D126" t="str">
            <v>I4/I5 1ST EU 700K/Sigma700K</v>
          </cell>
          <cell r="E126">
            <v>37591</v>
          </cell>
          <cell r="F126" t="str">
            <v>ABARRET1</v>
          </cell>
          <cell r="G126" t="str">
            <v xml:space="preserve"> PASV T</v>
          </cell>
          <cell r="H126">
            <v>0.51</v>
          </cell>
          <cell r="I126">
            <v>2.3450000000000002</v>
          </cell>
          <cell r="J126">
            <v>2.855</v>
          </cell>
          <cell r="K126">
            <v>0.40799999999999997</v>
          </cell>
          <cell r="L126">
            <v>1.835</v>
          </cell>
          <cell r="M126">
            <v>2.2429999999999999</v>
          </cell>
          <cell r="N126" t="str">
            <v/>
          </cell>
          <cell r="O126" t="str">
            <v/>
          </cell>
          <cell r="P126">
            <v>5.0979999999999999</v>
          </cell>
          <cell r="Q126" t="str">
            <v/>
          </cell>
          <cell r="R126" t="str">
            <v/>
          </cell>
          <cell r="S126" t="str">
            <v/>
          </cell>
          <cell r="T126" t="str">
            <v/>
          </cell>
          <cell r="U126">
            <v>2.855</v>
          </cell>
          <cell r="V126" t="str">
            <v/>
          </cell>
          <cell r="W126" t="str">
            <v/>
          </cell>
          <cell r="X126" t="str">
            <v/>
          </cell>
          <cell r="Y126" t="str">
            <v/>
          </cell>
          <cell r="Z126" t="str">
            <v/>
          </cell>
          <cell r="AA126" t="str">
            <v/>
          </cell>
          <cell r="AB126" t="str">
            <v/>
          </cell>
          <cell r="AC126">
            <v>2.855</v>
          </cell>
        </row>
        <row r="127">
          <cell r="C127" t="str">
            <v>02S34</v>
          </cell>
          <cell r="D127" t="str">
            <v>AJ33 - X350</v>
          </cell>
          <cell r="E127">
            <v>37316</v>
          </cell>
          <cell r="F127" t="str">
            <v>IKIRBY3</v>
          </cell>
          <cell r="G127" t="str">
            <v xml:space="preserve"> PASV T</v>
          </cell>
          <cell r="H127">
            <v>0.96699999999999997</v>
          </cell>
          <cell r="I127">
            <v>0.22500000000000001</v>
          </cell>
          <cell r="J127">
            <v>1.1919999999999999</v>
          </cell>
          <cell r="K127" t="str">
            <v/>
          </cell>
          <cell r="L127">
            <v>0.13100000000000001</v>
          </cell>
          <cell r="M127">
            <v>0.13100000000000001</v>
          </cell>
          <cell r="N127">
            <v>0.17</v>
          </cell>
          <cell r="O127">
            <v>1.5</v>
          </cell>
          <cell r="P127">
            <v>2.9929999999999999</v>
          </cell>
          <cell r="Q127" t="str">
            <v/>
          </cell>
          <cell r="R127" t="str">
            <v/>
          </cell>
          <cell r="S127">
            <v>0.376</v>
          </cell>
          <cell r="T127">
            <v>0.81599999999999995</v>
          </cell>
          <cell r="U127" t="str">
            <v/>
          </cell>
          <cell r="V127" t="str">
            <v/>
          </cell>
          <cell r="W127" t="str">
            <v/>
          </cell>
          <cell r="X127" t="str">
            <v/>
          </cell>
          <cell r="Y127" t="str">
            <v/>
          </cell>
          <cell r="Z127" t="str">
            <v/>
          </cell>
          <cell r="AA127" t="str">
            <v/>
          </cell>
          <cell r="AB127" t="str">
            <v/>
          </cell>
          <cell r="AC127">
            <v>1.1919999999999999</v>
          </cell>
        </row>
        <row r="128">
          <cell r="C128" t="str">
            <v>03N01</v>
          </cell>
          <cell r="D128" t="str">
            <v>Emissions Test Facilities</v>
          </cell>
          <cell r="E128">
            <v>37469</v>
          </cell>
          <cell r="F128" t="str">
            <v>MDILS</v>
          </cell>
          <cell r="G128" t="str">
            <v>R     T</v>
          </cell>
          <cell r="H128">
            <v>15.731999999999999</v>
          </cell>
          <cell r="I128">
            <v>1.748</v>
          </cell>
          <cell r="J128">
            <v>17.48</v>
          </cell>
          <cell r="K128">
            <v>1.3680000000000001</v>
          </cell>
          <cell r="L128">
            <v>0.152</v>
          </cell>
          <cell r="M128">
            <v>1.52</v>
          </cell>
          <cell r="N128">
            <v>1</v>
          </cell>
          <cell r="O128">
            <v>7.3</v>
          </cell>
          <cell r="P128">
            <v>27.3</v>
          </cell>
          <cell r="Q128" t="str">
            <v/>
          </cell>
          <cell r="R128" t="str">
            <v/>
          </cell>
          <cell r="S128">
            <v>6.8170000000000002</v>
          </cell>
          <cell r="T128">
            <v>8.9149999999999991</v>
          </cell>
          <cell r="U128">
            <v>1.748</v>
          </cell>
          <cell r="V128" t="str">
            <v/>
          </cell>
          <cell r="W128" t="str">
            <v/>
          </cell>
          <cell r="X128" t="str">
            <v/>
          </cell>
          <cell r="Y128" t="str">
            <v/>
          </cell>
          <cell r="Z128" t="str">
            <v/>
          </cell>
          <cell r="AA128" t="str">
            <v/>
          </cell>
          <cell r="AB128" t="str">
            <v/>
          </cell>
          <cell r="AC128">
            <v>17.48</v>
          </cell>
        </row>
        <row r="129">
          <cell r="C129" t="str">
            <v>03N02</v>
          </cell>
          <cell r="D129" t="str">
            <v>PZEV -- NA C170, 2.3L I4</v>
          </cell>
          <cell r="E129">
            <v>37469</v>
          </cell>
          <cell r="F129" t="str">
            <v>MDILS</v>
          </cell>
          <cell r="G129" t="str">
            <v>RP    T</v>
          </cell>
          <cell r="H129">
            <v>51.584000000000003</v>
          </cell>
          <cell r="I129">
            <v>5.7320000000000002</v>
          </cell>
          <cell r="J129">
            <v>57.316000000000003</v>
          </cell>
          <cell r="K129">
            <v>4.4859999999999998</v>
          </cell>
          <cell r="L129">
            <v>0.498</v>
          </cell>
          <cell r="M129">
            <v>4.984</v>
          </cell>
          <cell r="N129">
            <v>5.2</v>
          </cell>
          <cell r="O129">
            <v>38.5</v>
          </cell>
          <cell r="P129">
            <v>106</v>
          </cell>
          <cell r="Q129" t="str">
            <v/>
          </cell>
          <cell r="R129" t="str">
            <v/>
          </cell>
          <cell r="S129">
            <v>22.352</v>
          </cell>
          <cell r="T129">
            <v>29.233000000000001</v>
          </cell>
          <cell r="U129">
            <v>5.7309999999999999</v>
          </cell>
          <cell r="V129" t="str">
            <v/>
          </cell>
          <cell r="W129" t="str">
            <v/>
          </cell>
          <cell r="X129" t="str">
            <v/>
          </cell>
          <cell r="Y129" t="str">
            <v/>
          </cell>
          <cell r="Z129" t="str">
            <v/>
          </cell>
          <cell r="AA129" t="str">
            <v/>
          </cell>
          <cell r="AB129" t="str">
            <v/>
          </cell>
          <cell r="AC129">
            <v>57.316000000000003</v>
          </cell>
        </row>
        <row r="130">
          <cell r="C130" t="str">
            <v>03N03</v>
          </cell>
          <cell r="D130" t="str">
            <v>PZEV -- U204, 2.3L I4</v>
          </cell>
          <cell r="E130">
            <v>37561</v>
          </cell>
          <cell r="F130" t="str">
            <v>MDILS</v>
          </cell>
          <cell r="G130" t="str">
            <v>RP    T</v>
          </cell>
          <cell r="H130">
            <v>51.584000000000003</v>
          </cell>
          <cell r="I130">
            <v>5.7320000000000002</v>
          </cell>
          <cell r="J130">
            <v>57.316000000000003</v>
          </cell>
          <cell r="K130">
            <v>4.4859999999999998</v>
          </cell>
          <cell r="L130">
            <v>0.498</v>
          </cell>
          <cell r="M130">
            <v>4.984</v>
          </cell>
          <cell r="N130">
            <v>5.2</v>
          </cell>
          <cell r="O130">
            <v>15.9</v>
          </cell>
          <cell r="P130">
            <v>83.4</v>
          </cell>
          <cell r="Q130" t="str">
            <v/>
          </cell>
          <cell r="R130" t="str">
            <v/>
          </cell>
          <cell r="S130">
            <v>16.620999999999999</v>
          </cell>
          <cell r="T130">
            <v>25.792999999999999</v>
          </cell>
          <cell r="U130">
            <v>14.901999999999999</v>
          </cell>
          <cell r="V130" t="str">
            <v/>
          </cell>
          <cell r="W130" t="str">
            <v/>
          </cell>
          <cell r="X130" t="str">
            <v/>
          </cell>
          <cell r="Y130" t="str">
            <v/>
          </cell>
          <cell r="Z130" t="str">
            <v/>
          </cell>
          <cell r="AA130" t="str">
            <v/>
          </cell>
          <cell r="AB130" t="str">
            <v/>
          </cell>
          <cell r="AC130">
            <v>57.316000000000003</v>
          </cell>
        </row>
        <row r="131">
          <cell r="C131" t="str">
            <v>03N04</v>
          </cell>
          <cell r="D131" t="str">
            <v>PZEV -- P273, 2.3L I4</v>
          </cell>
          <cell r="E131">
            <v>37591</v>
          </cell>
          <cell r="F131" t="str">
            <v>MDILS</v>
          </cell>
          <cell r="G131" t="str">
            <v>RP    T</v>
          </cell>
          <cell r="H131">
            <v>51.584000000000003</v>
          </cell>
          <cell r="I131">
            <v>5.7320000000000002</v>
          </cell>
          <cell r="J131">
            <v>57.316000000000003</v>
          </cell>
          <cell r="K131">
            <v>4.4859999999999998</v>
          </cell>
          <cell r="L131">
            <v>0.498</v>
          </cell>
          <cell r="M131">
            <v>4.984</v>
          </cell>
          <cell r="N131">
            <v>5.2</v>
          </cell>
          <cell r="O131">
            <v>29</v>
          </cell>
          <cell r="P131">
            <v>96.5</v>
          </cell>
          <cell r="Q131" t="str">
            <v/>
          </cell>
          <cell r="R131" t="str">
            <v/>
          </cell>
          <cell r="S131">
            <v>14.329000000000001</v>
          </cell>
          <cell r="T131">
            <v>25.218</v>
          </cell>
          <cell r="U131">
            <v>17.768999999999998</v>
          </cell>
          <cell r="V131" t="str">
            <v/>
          </cell>
          <cell r="W131" t="str">
            <v/>
          </cell>
          <cell r="X131" t="str">
            <v/>
          </cell>
          <cell r="Y131" t="str">
            <v/>
          </cell>
          <cell r="Z131" t="str">
            <v/>
          </cell>
          <cell r="AA131" t="str">
            <v/>
          </cell>
          <cell r="AB131" t="str">
            <v/>
          </cell>
          <cell r="AC131">
            <v>57.316000000000003</v>
          </cell>
        </row>
        <row r="132">
          <cell r="C132" t="str">
            <v>03N05</v>
          </cell>
          <cell r="D132" t="str">
            <v>PZEV -- D186 Taurus, 3.0L V6</v>
          </cell>
          <cell r="E132">
            <v>37653</v>
          </cell>
          <cell r="F132" t="str">
            <v>MDILS</v>
          </cell>
          <cell r="G132" t="str">
            <v>RP    T</v>
          </cell>
          <cell r="H132">
            <v>55.061999999999998</v>
          </cell>
          <cell r="I132">
            <v>6.1180000000000003</v>
          </cell>
          <cell r="J132">
            <v>61.18</v>
          </cell>
          <cell r="K132">
            <v>4.7880000000000003</v>
          </cell>
          <cell r="L132">
            <v>0.53200000000000003</v>
          </cell>
          <cell r="M132">
            <v>5.32</v>
          </cell>
          <cell r="N132">
            <v>6.8</v>
          </cell>
          <cell r="O132">
            <v>36.299999999999997</v>
          </cell>
          <cell r="P132">
            <v>109.6</v>
          </cell>
          <cell r="Q132" t="str">
            <v/>
          </cell>
          <cell r="R132" t="str">
            <v/>
          </cell>
          <cell r="S132">
            <v>10.401</v>
          </cell>
          <cell r="T132">
            <v>25.695</v>
          </cell>
          <cell r="U132">
            <v>25.084</v>
          </cell>
          <cell r="V132" t="str">
            <v/>
          </cell>
          <cell r="W132" t="str">
            <v/>
          </cell>
          <cell r="X132" t="str">
            <v/>
          </cell>
          <cell r="Y132" t="str">
            <v/>
          </cell>
          <cell r="Z132" t="str">
            <v/>
          </cell>
          <cell r="AA132" t="str">
            <v/>
          </cell>
          <cell r="AB132" t="str">
            <v/>
          </cell>
          <cell r="AC132">
            <v>61.18</v>
          </cell>
        </row>
        <row r="133">
          <cell r="C133" t="str">
            <v>03N06</v>
          </cell>
          <cell r="D133" t="str">
            <v>PZEV -- U293</v>
          </cell>
          <cell r="E133">
            <v>37681</v>
          </cell>
          <cell r="F133" t="str">
            <v>MDILS</v>
          </cell>
          <cell r="G133" t="str">
            <v>RP    T</v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6.8</v>
          </cell>
          <cell r="P133">
            <v>6.8</v>
          </cell>
          <cell r="Q133" t="str">
            <v/>
          </cell>
          <cell r="R133" t="str">
            <v/>
          </cell>
          <cell r="S133" t="str">
            <v/>
          </cell>
          <cell r="T133" t="str">
            <v/>
          </cell>
          <cell r="U133" t="str">
            <v/>
          </cell>
          <cell r="V133" t="str">
            <v/>
          </cell>
          <cell r="W133" t="str">
            <v/>
          </cell>
          <cell r="X133" t="str">
            <v/>
          </cell>
          <cell r="Y133" t="str">
            <v/>
          </cell>
          <cell r="Z133" t="str">
            <v/>
          </cell>
          <cell r="AA133" t="str">
            <v/>
          </cell>
          <cell r="AB133" t="str">
            <v/>
          </cell>
          <cell r="AC133" t="str">
            <v/>
          </cell>
        </row>
        <row r="134">
          <cell r="C134" t="str">
            <v>03N70</v>
          </cell>
          <cell r="D134" t="str">
            <v>03MY Emissions Reqt's</v>
          </cell>
          <cell r="E134">
            <v>37469</v>
          </cell>
          <cell r="F134" t="str">
            <v>MDILS</v>
          </cell>
          <cell r="G134" t="str">
            <v>RP    T</v>
          </cell>
          <cell r="H134">
            <v>57.96</v>
          </cell>
          <cell r="I134">
            <v>6.44</v>
          </cell>
          <cell r="J134">
            <v>64.400000000000006</v>
          </cell>
          <cell r="K134">
            <v>5.04</v>
          </cell>
          <cell r="L134">
            <v>0.56000000000000005</v>
          </cell>
          <cell r="M134">
            <v>5.6</v>
          </cell>
          <cell r="N134">
            <v>5.6</v>
          </cell>
          <cell r="O134">
            <v>56</v>
          </cell>
          <cell r="P134">
            <v>131.6</v>
          </cell>
          <cell r="Q134" t="str">
            <v/>
          </cell>
          <cell r="R134" t="str">
            <v/>
          </cell>
          <cell r="S134">
            <v>25.117000000000001</v>
          </cell>
          <cell r="T134">
            <v>32.844000000000001</v>
          </cell>
          <cell r="U134">
            <v>6.4390000000000001</v>
          </cell>
          <cell r="V134" t="str">
            <v/>
          </cell>
          <cell r="W134" t="str">
            <v/>
          </cell>
          <cell r="X134" t="str">
            <v/>
          </cell>
          <cell r="Y134" t="str">
            <v/>
          </cell>
          <cell r="Z134" t="str">
            <v/>
          </cell>
          <cell r="AA134" t="str">
            <v/>
          </cell>
          <cell r="AB134" t="str">
            <v/>
          </cell>
          <cell r="AC134">
            <v>64.400000000000006</v>
          </cell>
        </row>
        <row r="135">
          <cell r="C135" t="str">
            <v>03P01</v>
          </cell>
          <cell r="D135" t="str">
            <v>New I4 X-ship X-buy Provision</v>
          </cell>
          <cell r="E135">
            <v>37469</v>
          </cell>
          <cell r="F135" t="str">
            <v>CPARKER5</v>
          </cell>
          <cell r="G135" t="str">
            <v xml:space="preserve"> P    T</v>
          </cell>
          <cell r="H135">
            <v>4.7889999999999997</v>
          </cell>
          <cell r="I135">
            <v>6.9109999999999996</v>
          </cell>
          <cell r="J135">
            <v>11.7</v>
          </cell>
          <cell r="K135">
            <v>7.9000000000000001E-2</v>
          </cell>
          <cell r="L135">
            <v>0.121</v>
          </cell>
          <cell r="M135">
            <v>0.2</v>
          </cell>
          <cell r="N135">
            <v>1.2</v>
          </cell>
          <cell r="O135">
            <v>10.9</v>
          </cell>
          <cell r="P135">
            <v>24</v>
          </cell>
          <cell r="Q135" t="str">
            <v/>
          </cell>
          <cell r="R135">
            <v>1.4E-2</v>
          </cell>
          <cell r="S135">
            <v>4.4080000000000004</v>
          </cell>
          <cell r="T135">
            <v>5.9710000000000001</v>
          </cell>
          <cell r="U135">
            <v>1.3069999999999999</v>
          </cell>
          <cell r="V135" t="str">
            <v/>
          </cell>
          <cell r="W135" t="str">
            <v/>
          </cell>
          <cell r="X135" t="str">
            <v/>
          </cell>
          <cell r="Y135" t="str">
            <v/>
          </cell>
          <cell r="Z135" t="str">
            <v/>
          </cell>
          <cell r="AA135" t="str">
            <v/>
          </cell>
          <cell r="AB135" t="str">
            <v/>
          </cell>
          <cell r="AC135">
            <v>11.7</v>
          </cell>
        </row>
        <row r="136">
          <cell r="C136" t="str">
            <v>03P02</v>
          </cell>
          <cell r="D136" t="str">
            <v>Ranger I-Engine Balance Shaft</v>
          </cell>
          <cell r="E136">
            <v>37591</v>
          </cell>
          <cell r="F136" t="str">
            <v>CPARKER5</v>
          </cell>
          <cell r="G136" t="str">
            <v xml:space="preserve"> PASV T</v>
          </cell>
          <cell r="H136">
            <v>13.02</v>
          </cell>
          <cell r="I136">
            <v>15.58</v>
          </cell>
          <cell r="J136">
            <v>28.6</v>
          </cell>
          <cell r="K136">
            <v>0.16</v>
          </cell>
          <cell r="L136">
            <v>3.24</v>
          </cell>
          <cell r="M136">
            <v>3.4</v>
          </cell>
          <cell r="N136">
            <v>2</v>
          </cell>
          <cell r="O136">
            <v>1</v>
          </cell>
          <cell r="P136">
            <v>35</v>
          </cell>
          <cell r="Q136" t="str">
            <v/>
          </cell>
          <cell r="R136" t="str">
            <v/>
          </cell>
          <cell r="S136">
            <v>6.056</v>
          </cell>
          <cell r="T136">
            <v>16.163</v>
          </cell>
          <cell r="U136">
            <v>5.7530000000000001</v>
          </cell>
          <cell r="V136">
            <v>0.628</v>
          </cell>
          <cell r="W136" t="str">
            <v/>
          </cell>
          <cell r="X136" t="str">
            <v/>
          </cell>
          <cell r="Y136" t="str">
            <v/>
          </cell>
          <cell r="Z136" t="str">
            <v/>
          </cell>
          <cell r="AA136" t="str">
            <v/>
          </cell>
          <cell r="AB136" t="str">
            <v/>
          </cell>
          <cell r="AC136">
            <v>28.6</v>
          </cell>
        </row>
        <row r="137">
          <cell r="C137" t="str">
            <v>03P11</v>
          </cell>
          <cell r="D137" t="str">
            <v>Al Block Cap Incr at REP</v>
          </cell>
          <cell r="E137">
            <v>37469</v>
          </cell>
          <cell r="F137" t="str">
            <v>FOHEARN</v>
          </cell>
          <cell r="G137" t="str">
            <v xml:space="preserve"> PASVCT</v>
          </cell>
          <cell r="H137">
            <v>24.303000000000001</v>
          </cell>
          <cell r="I137">
            <v>180.53200000000001</v>
          </cell>
          <cell r="J137">
            <v>204.83500000000001</v>
          </cell>
          <cell r="K137">
            <v>10.026999999999999</v>
          </cell>
          <cell r="L137">
            <v>2.1000000000000001E-2</v>
          </cell>
          <cell r="M137">
            <v>10.048</v>
          </cell>
          <cell r="N137">
            <v>26.9</v>
          </cell>
          <cell r="O137">
            <v>4.3</v>
          </cell>
          <cell r="P137">
            <v>246.083</v>
          </cell>
          <cell r="Q137" t="str">
            <v/>
          </cell>
          <cell r="R137">
            <v>0.67400000000000004</v>
          </cell>
          <cell r="S137">
            <v>89.337999999999994</v>
          </cell>
          <cell r="T137">
            <v>92.248999999999995</v>
          </cell>
          <cell r="U137">
            <v>22.574000000000002</v>
          </cell>
          <cell r="V137" t="str">
            <v/>
          </cell>
          <cell r="W137" t="str">
            <v/>
          </cell>
          <cell r="X137" t="str">
            <v/>
          </cell>
          <cell r="Y137" t="str">
            <v/>
          </cell>
          <cell r="Z137" t="str">
            <v/>
          </cell>
          <cell r="AA137" t="str">
            <v/>
          </cell>
          <cell r="AB137" t="str">
            <v/>
          </cell>
          <cell r="AC137">
            <v>204.83500000000001</v>
          </cell>
        </row>
        <row r="138">
          <cell r="C138" t="str">
            <v>03P18</v>
          </cell>
          <cell r="D138" t="str">
            <v>4R70W/4R75W TORQ UPGRADES</v>
          </cell>
          <cell r="E138">
            <v>37469</v>
          </cell>
          <cell r="F138" t="str">
            <v>KMCCUSKE</v>
          </cell>
          <cell r="G138" t="str">
            <v xml:space="preserve"> P S  T</v>
          </cell>
          <cell r="H138">
            <v>6.5890000000000004</v>
          </cell>
          <cell r="I138">
            <v>16.45</v>
          </cell>
          <cell r="J138">
            <v>23.039000000000001</v>
          </cell>
          <cell r="K138">
            <v>0.20399999999999999</v>
          </cell>
          <cell r="L138">
            <v>5.6630000000000003</v>
          </cell>
          <cell r="M138">
            <v>5.867</v>
          </cell>
          <cell r="N138">
            <v>2.3279999999999998</v>
          </cell>
          <cell r="O138">
            <v>14.55</v>
          </cell>
          <cell r="P138">
            <v>45.783999999999999</v>
          </cell>
          <cell r="Q138" t="str">
            <v/>
          </cell>
          <cell r="R138" t="str">
            <v/>
          </cell>
          <cell r="S138">
            <v>6.4089999999999998</v>
          </cell>
          <cell r="T138">
            <v>16.63</v>
          </cell>
          <cell r="U138" t="str">
            <v/>
          </cell>
          <cell r="V138" t="str">
            <v/>
          </cell>
          <cell r="W138" t="str">
            <v/>
          </cell>
          <cell r="X138" t="str">
            <v/>
          </cell>
          <cell r="Y138" t="str">
            <v/>
          </cell>
          <cell r="Z138" t="str">
            <v/>
          </cell>
          <cell r="AA138" t="str">
            <v/>
          </cell>
          <cell r="AB138" t="str">
            <v/>
          </cell>
          <cell r="AC138">
            <v>23.039000000000001</v>
          </cell>
        </row>
        <row r="139">
          <cell r="C139" t="str">
            <v>03P22</v>
          </cell>
          <cell r="D139" t="str">
            <v>CVT: CFT23 at ZF-Batavia-VT</v>
          </cell>
          <cell r="E139">
            <v>37622</v>
          </cell>
          <cell r="F139" t="str">
            <v>THUHTALA</v>
          </cell>
          <cell r="G139" t="str">
            <v xml:space="preserve"> P    T</v>
          </cell>
          <cell r="H139">
            <v>5.8</v>
          </cell>
          <cell r="I139">
            <v>17.399999999999999</v>
          </cell>
          <cell r="J139">
            <v>23.2</v>
          </cell>
          <cell r="K139">
            <v>0.5</v>
          </cell>
          <cell r="L139">
            <v>1.5</v>
          </cell>
          <cell r="M139">
            <v>2</v>
          </cell>
          <cell r="N139" t="str">
            <v/>
          </cell>
          <cell r="O139">
            <v>34</v>
          </cell>
          <cell r="P139">
            <v>59.2</v>
          </cell>
          <cell r="Q139" t="str">
            <v/>
          </cell>
          <cell r="R139" t="str">
            <v/>
          </cell>
          <cell r="S139">
            <v>1.4039999999999999</v>
          </cell>
          <cell r="T139">
            <v>12.191000000000001</v>
          </cell>
          <cell r="U139">
            <v>8.2479999999999993</v>
          </cell>
          <cell r="V139">
            <v>1.357</v>
          </cell>
          <cell r="W139" t="str">
            <v/>
          </cell>
          <cell r="X139" t="str">
            <v/>
          </cell>
          <cell r="Y139" t="str">
            <v/>
          </cell>
          <cell r="Z139" t="str">
            <v/>
          </cell>
          <cell r="AA139" t="str">
            <v/>
          </cell>
          <cell r="AB139" t="str">
            <v/>
          </cell>
          <cell r="AC139">
            <v>23.2</v>
          </cell>
        </row>
        <row r="140">
          <cell r="C140" t="str">
            <v>03P24</v>
          </cell>
          <cell r="D140" t="str">
            <v>5R55S Program-Cost Reductions</v>
          </cell>
          <cell r="E140">
            <v>37469</v>
          </cell>
          <cell r="F140" t="str">
            <v>DLUKAS1</v>
          </cell>
          <cell r="G140" t="str">
            <v xml:space="preserve"> PASV T</v>
          </cell>
          <cell r="H140">
            <v>10.712999999999999</v>
          </cell>
          <cell r="I140">
            <v>0.75</v>
          </cell>
          <cell r="J140">
            <v>11.462999999999999</v>
          </cell>
          <cell r="K140">
            <v>0.22800000000000001</v>
          </cell>
          <cell r="L140">
            <v>1.7999999999999999E-2</v>
          </cell>
          <cell r="M140">
            <v>0.246</v>
          </cell>
          <cell r="N140" t="str">
            <v/>
          </cell>
          <cell r="O140" t="str">
            <v/>
          </cell>
          <cell r="P140">
            <v>11.709</v>
          </cell>
          <cell r="Q140" t="str">
            <v/>
          </cell>
          <cell r="R140" t="str">
            <v/>
          </cell>
          <cell r="S140">
            <v>0.73</v>
          </cell>
          <cell r="T140">
            <v>9.8000000000000007</v>
          </cell>
          <cell r="U140">
            <v>0.93300000000000005</v>
          </cell>
          <cell r="V140" t="str">
            <v/>
          </cell>
          <cell r="W140" t="str">
            <v/>
          </cell>
          <cell r="X140" t="str">
            <v/>
          </cell>
          <cell r="Y140" t="str">
            <v/>
          </cell>
          <cell r="Z140" t="str">
            <v/>
          </cell>
          <cell r="AA140" t="str">
            <v/>
          </cell>
          <cell r="AB140" t="str">
            <v/>
          </cell>
          <cell r="AC140">
            <v>11.462999999999999</v>
          </cell>
        </row>
        <row r="141">
          <cell r="C141" t="str">
            <v>03P29</v>
          </cell>
          <cell r="D141" t="str">
            <v>Car/Trk Cap--03MY 5R55 @STP</v>
          </cell>
          <cell r="E141">
            <v>37469</v>
          </cell>
          <cell r="F141" t="str">
            <v>DLUKAS1</v>
          </cell>
          <cell r="G141" t="str">
            <v xml:space="preserve"> PASVCT</v>
          </cell>
          <cell r="H141">
            <v>4.5</v>
          </cell>
          <cell r="I141">
            <v>3.65</v>
          </cell>
          <cell r="J141">
            <v>8.15</v>
          </cell>
          <cell r="K141" t="str">
            <v/>
          </cell>
          <cell r="L141">
            <v>0.45</v>
          </cell>
          <cell r="M141">
            <v>0.45</v>
          </cell>
          <cell r="N141">
            <v>0.4</v>
          </cell>
          <cell r="O141" t="str">
            <v/>
          </cell>
          <cell r="P141">
            <v>9</v>
          </cell>
          <cell r="Q141" t="str">
            <v/>
          </cell>
          <cell r="R141" t="str">
            <v/>
          </cell>
          <cell r="S141">
            <v>0.65</v>
          </cell>
          <cell r="T141">
            <v>5.55</v>
          </cell>
          <cell r="U141">
            <v>1.95</v>
          </cell>
          <cell r="V141" t="str">
            <v/>
          </cell>
          <cell r="W141" t="str">
            <v/>
          </cell>
          <cell r="X141" t="str">
            <v/>
          </cell>
          <cell r="Y141" t="str">
            <v/>
          </cell>
          <cell r="Z141" t="str">
            <v/>
          </cell>
          <cell r="AA141" t="str">
            <v/>
          </cell>
          <cell r="AB141" t="str">
            <v/>
          </cell>
          <cell r="AC141">
            <v>8.15</v>
          </cell>
        </row>
        <row r="142">
          <cell r="C142" t="str">
            <v>03P34</v>
          </cell>
          <cell r="D142" t="str">
            <v>PTO Customer Sat Ldshp Pgm</v>
          </cell>
          <cell r="E142">
            <v>37469</v>
          </cell>
          <cell r="F142" t="str">
            <v>GLAVAUTE</v>
          </cell>
          <cell r="G142" t="str">
            <v xml:space="preserve"> P S  T</v>
          </cell>
          <cell r="H142">
            <v>219.04</v>
          </cell>
          <cell r="I142">
            <v>96.69</v>
          </cell>
          <cell r="J142">
            <v>315.73</v>
          </cell>
          <cell r="K142">
            <v>6.06</v>
          </cell>
          <cell r="L142">
            <v>2.91</v>
          </cell>
          <cell r="M142">
            <v>8.9700000000000006</v>
          </cell>
          <cell r="N142">
            <v>35</v>
          </cell>
          <cell r="O142">
            <v>130</v>
          </cell>
          <cell r="P142">
            <v>489.7</v>
          </cell>
          <cell r="Q142" t="str">
            <v/>
          </cell>
          <cell r="R142" t="str">
            <v/>
          </cell>
          <cell r="S142">
            <v>82.061000000000007</v>
          </cell>
          <cell r="T142">
            <v>174.88200000000001</v>
          </cell>
          <cell r="U142">
            <v>58.786999999999999</v>
          </cell>
          <cell r="V142" t="str">
            <v/>
          </cell>
          <cell r="W142" t="str">
            <v/>
          </cell>
          <cell r="X142" t="str">
            <v/>
          </cell>
          <cell r="Y142" t="str">
            <v/>
          </cell>
          <cell r="Z142" t="str">
            <v/>
          </cell>
          <cell r="AA142" t="str">
            <v/>
          </cell>
          <cell r="AB142" t="str">
            <v/>
          </cell>
          <cell r="AC142">
            <v>315.73</v>
          </cell>
        </row>
        <row r="143">
          <cell r="C143" t="str">
            <v>03P35</v>
          </cell>
          <cell r="D143" t="str">
            <v>PTO CSLP -- PTSE</v>
          </cell>
          <cell r="E143">
            <v>37469</v>
          </cell>
          <cell r="F143" t="str">
            <v>DWILSO17</v>
          </cell>
          <cell r="G143" t="str">
            <v xml:space="preserve"> P S  T</v>
          </cell>
          <cell r="H143">
            <v>25</v>
          </cell>
          <cell r="I143">
            <v>25</v>
          </cell>
          <cell r="J143">
            <v>50</v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 t="str">
            <v/>
          </cell>
          <cell r="P143">
            <v>50</v>
          </cell>
          <cell r="Q143" t="str">
            <v/>
          </cell>
          <cell r="R143" t="str">
            <v/>
          </cell>
          <cell r="S143">
            <v>10.5</v>
          </cell>
          <cell r="T143">
            <v>30</v>
          </cell>
          <cell r="U143">
            <v>9.5</v>
          </cell>
          <cell r="V143" t="str">
            <v/>
          </cell>
          <cell r="W143" t="str">
            <v/>
          </cell>
          <cell r="X143" t="str">
            <v/>
          </cell>
          <cell r="Y143" t="str">
            <v/>
          </cell>
          <cell r="Z143" t="str">
            <v/>
          </cell>
          <cell r="AA143" t="str">
            <v/>
          </cell>
          <cell r="AB143" t="str">
            <v/>
          </cell>
          <cell r="AC143">
            <v>50</v>
          </cell>
        </row>
        <row r="144">
          <cell r="C144" t="str">
            <v>03P36</v>
          </cell>
          <cell r="D144" t="str">
            <v>5.4L 3V V8 FOR U222</v>
          </cell>
          <cell r="E144">
            <v>37469</v>
          </cell>
          <cell r="F144" t="str">
            <v>FOHEARN</v>
          </cell>
          <cell r="G144" t="str">
            <v xml:space="preserve"> PASV T</v>
          </cell>
          <cell r="H144">
            <v>0.14899999999999999</v>
          </cell>
          <cell r="I144">
            <v>4.0000000000000001E-3</v>
          </cell>
          <cell r="J144">
            <v>0.153</v>
          </cell>
          <cell r="K144">
            <v>5.8999999999999997E-2</v>
          </cell>
          <cell r="L144">
            <v>7.4999999999999997E-2</v>
          </cell>
          <cell r="M144">
            <v>0.13400000000000001</v>
          </cell>
          <cell r="N144">
            <v>1</v>
          </cell>
          <cell r="O144">
            <v>5</v>
          </cell>
          <cell r="P144">
            <v>6.2869999999999999</v>
          </cell>
          <cell r="Q144" t="str">
            <v/>
          </cell>
          <cell r="R144">
            <v>4.0000000000000001E-3</v>
          </cell>
          <cell r="S144">
            <v>4.3999999999999997E-2</v>
          </cell>
          <cell r="T144">
            <v>0.105</v>
          </cell>
          <cell r="U144" t="str">
            <v/>
          </cell>
          <cell r="V144" t="str">
            <v/>
          </cell>
          <cell r="W144" t="str">
            <v/>
          </cell>
          <cell r="X144" t="str">
            <v/>
          </cell>
          <cell r="Y144" t="str">
            <v/>
          </cell>
          <cell r="Z144" t="str">
            <v/>
          </cell>
          <cell r="AA144" t="str">
            <v/>
          </cell>
          <cell r="AB144" t="str">
            <v/>
          </cell>
          <cell r="AC144">
            <v>0.153</v>
          </cell>
        </row>
        <row r="145">
          <cell r="C145" t="str">
            <v>03P40</v>
          </cell>
          <cell r="D145" t="str">
            <v>V6 Duratec for D219/D258</v>
          </cell>
          <cell r="E145">
            <v>37742</v>
          </cell>
          <cell r="F145" t="str">
            <v>DDESCHAM</v>
          </cell>
          <cell r="G145" t="str">
            <v xml:space="preserve"> P   CT</v>
          </cell>
          <cell r="H145">
            <v>118.93</v>
          </cell>
          <cell r="I145">
            <v>267.3</v>
          </cell>
          <cell r="J145">
            <v>386.23</v>
          </cell>
          <cell r="K145">
            <v>8.44</v>
          </cell>
          <cell r="L145">
            <v>17.329999999999998</v>
          </cell>
          <cell r="M145">
            <v>25.77</v>
          </cell>
          <cell r="N145">
            <v>52</v>
          </cell>
          <cell r="O145">
            <v>60</v>
          </cell>
          <cell r="P145">
            <v>524</v>
          </cell>
          <cell r="Q145" t="str">
            <v/>
          </cell>
          <cell r="R145" t="str">
            <v/>
          </cell>
          <cell r="S145">
            <v>25.353000000000002</v>
          </cell>
          <cell r="T145">
            <v>209.45500000000001</v>
          </cell>
          <cell r="U145">
            <v>127.642</v>
          </cell>
          <cell r="V145">
            <v>23.78</v>
          </cell>
          <cell r="W145" t="str">
            <v/>
          </cell>
          <cell r="X145" t="str">
            <v/>
          </cell>
          <cell r="Y145" t="str">
            <v/>
          </cell>
          <cell r="Z145" t="str">
            <v/>
          </cell>
          <cell r="AA145" t="str">
            <v/>
          </cell>
          <cell r="AB145" t="str">
            <v/>
          </cell>
          <cell r="AC145">
            <v>386.23</v>
          </cell>
        </row>
        <row r="146">
          <cell r="C146" t="str">
            <v>03P43</v>
          </cell>
          <cell r="D146" t="str">
            <v>V8/V10 3v Mod Upgrade Ph I(VT)</v>
          </cell>
          <cell r="E146">
            <v>37469</v>
          </cell>
          <cell r="F146" t="str">
            <v>FOHEARN</v>
          </cell>
          <cell r="G146" t="str">
            <v xml:space="preserve">  ASV T</v>
          </cell>
          <cell r="H146">
            <v>28.395</v>
          </cell>
          <cell r="I146" t="str">
            <v/>
          </cell>
          <cell r="J146">
            <v>28.395</v>
          </cell>
          <cell r="K146">
            <v>3.375</v>
          </cell>
          <cell r="L146">
            <v>2.7E-2</v>
          </cell>
          <cell r="M146">
            <v>3.4020000000000001</v>
          </cell>
          <cell r="N146" t="str">
            <v/>
          </cell>
          <cell r="O146" t="str">
            <v/>
          </cell>
          <cell r="P146">
            <v>31.797000000000001</v>
          </cell>
          <cell r="Q146" t="str">
            <v/>
          </cell>
          <cell r="R146" t="str">
            <v/>
          </cell>
          <cell r="S146">
            <v>12.585000000000001</v>
          </cell>
          <cell r="T146">
            <v>12.457000000000001</v>
          </cell>
          <cell r="U146">
            <v>3.3530000000000002</v>
          </cell>
          <cell r="V146" t="str">
            <v/>
          </cell>
          <cell r="W146" t="str">
            <v/>
          </cell>
          <cell r="X146" t="str">
            <v/>
          </cell>
          <cell r="Y146" t="str">
            <v/>
          </cell>
          <cell r="Z146" t="str">
            <v/>
          </cell>
          <cell r="AA146" t="str">
            <v/>
          </cell>
          <cell r="AB146" t="str">
            <v/>
          </cell>
          <cell r="AC146">
            <v>28.395</v>
          </cell>
        </row>
        <row r="147">
          <cell r="C147" t="str">
            <v>03P44</v>
          </cell>
          <cell r="D147" t="str">
            <v>AJ35 V8 Upgrade for DEW</v>
          </cell>
          <cell r="E147">
            <v>37469</v>
          </cell>
          <cell r="F147" t="str">
            <v>GBECHARD</v>
          </cell>
          <cell r="G147" t="str">
            <v xml:space="preserve"> PASV T</v>
          </cell>
          <cell r="H147">
            <v>19.466999999999999</v>
          </cell>
          <cell r="I147">
            <v>10.339</v>
          </cell>
          <cell r="J147">
            <v>29.806000000000001</v>
          </cell>
          <cell r="K147">
            <v>8.6999999999999994E-2</v>
          </cell>
          <cell r="L147">
            <v>2.0579999999999998</v>
          </cell>
          <cell r="M147">
            <v>2.145</v>
          </cell>
          <cell r="N147">
            <v>2.1</v>
          </cell>
          <cell r="O147">
            <v>40.200000000000003</v>
          </cell>
          <cell r="P147">
            <v>74.251000000000005</v>
          </cell>
          <cell r="Q147" t="str">
            <v/>
          </cell>
          <cell r="R147">
            <v>7.0000000000000001E-3</v>
          </cell>
          <cell r="S147">
            <v>10.435</v>
          </cell>
          <cell r="T147">
            <v>15.555</v>
          </cell>
          <cell r="U147">
            <v>3.8090000000000002</v>
          </cell>
          <cell r="V147" t="str">
            <v/>
          </cell>
          <cell r="W147" t="str">
            <v/>
          </cell>
          <cell r="X147" t="str">
            <v/>
          </cell>
          <cell r="Y147" t="str">
            <v/>
          </cell>
          <cell r="Z147" t="str">
            <v/>
          </cell>
          <cell r="AA147" t="str">
            <v/>
          </cell>
          <cell r="AB147" t="str">
            <v/>
          </cell>
          <cell r="AC147">
            <v>29.806000000000001</v>
          </cell>
        </row>
        <row r="148">
          <cell r="C148" t="str">
            <v>03P54</v>
          </cell>
          <cell r="D148" t="str">
            <v>U222/228 - 4R75W</v>
          </cell>
          <cell r="E148">
            <v>37469</v>
          </cell>
          <cell r="F148" t="str">
            <v>KMCCUSKE</v>
          </cell>
          <cell r="G148" t="str">
            <v xml:space="preserve"> PASV T</v>
          </cell>
          <cell r="H148">
            <v>5.1999999999999998E-2</v>
          </cell>
          <cell r="I148" t="str">
            <v/>
          </cell>
          <cell r="J148">
            <v>5.1999999999999998E-2</v>
          </cell>
          <cell r="K148">
            <v>5.0000000000000001E-3</v>
          </cell>
          <cell r="L148" t="str">
            <v/>
          </cell>
          <cell r="M148">
            <v>5.0000000000000001E-3</v>
          </cell>
          <cell r="N148">
            <v>0.03</v>
          </cell>
          <cell r="O148">
            <v>0.03</v>
          </cell>
          <cell r="P148">
            <v>0.11700000000000001</v>
          </cell>
          <cell r="Q148" t="str">
            <v/>
          </cell>
          <cell r="R148" t="str">
            <v/>
          </cell>
          <cell r="S148">
            <v>1.6E-2</v>
          </cell>
          <cell r="T148">
            <v>3.5999999999999997E-2</v>
          </cell>
          <cell r="U148" t="str">
            <v/>
          </cell>
          <cell r="V148" t="str">
            <v/>
          </cell>
          <cell r="W148" t="str">
            <v/>
          </cell>
          <cell r="X148" t="str">
            <v/>
          </cell>
          <cell r="Y148" t="str">
            <v/>
          </cell>
          <cell r="Z148" t="str">
            <v/>
          </cell>
          <cell r="AA148" t="str">
            <v/>
          </cell>
          <cell r="AB148" t="str">
            <v/>
          </cell>
          <cell r="AC148">
            <v>5.1999999999999998E-2</v>
          </cell>
        </row>
        <row r="149">
          <cell r="C149" t="str">
            <v>03P64</v>
          </cell>
          <cell r="D149" t="str">
            <v>3.0L DAMB VCT</v>
          </cell>
          <cell r="E149">
            <v>37469</v>
          </cell>
          <cell r="F149" t="str">
            <v>DDESCHAM</v>
          </cell>
          <cell r="G149" t="str">
            <v xml:space="preserve">  ASV T</v>
          </cell>
          <cell r="H149">
            <v>5.0979999999999999</v>
          </cell>
          <cell r="I149">
            <v>4.9020000000000001</v>
          </cell>
          <cell r="J149">
            <v>10</v>
          </cell>
          <cell r="K149">
            <v>0.16400000000000001</v>
          </cell>
          <cell r="L149">
            <v>0.23599999999999999</v>
          </cell>
          <cell r="M149">
            <v>0.4</v>
          </cell>
          <cell r="N149">
            <v>4.4999999999999998E-2</v>
          </cell>
          <cell r="O149">
            <v>20.135000000000002</v>
          </cell>
          <cell r="P149">
            <v>30.58</v>
          </cell>
          <cell r="Q149" t="str">
            <v/>
          </cell>
          <cell r="R149">
            <v>6.0000000000000001E-3</v>
          </cell>
          <cell r="S149">
            <v>4.8780000000000001</v>
          </cell>
          <cell r="T149">
            <v>4.6580000000000004</v>
          </cell>
          <cell r="U149">
            <v>0.45800000000000002</v>
          </cell>
          <cell r="V149" t="str">
            <v/>
          </cell>
          <cell r="W149" t="str">
            <v/>
          </cell>
          <cell r="X149" t="str">
            <v/>
          </cell>
          <cell r="Y149" t="str">
            <v/>
          </cell>
          <cell r="Z149" t="str">
            <v/>
          </cell>
          <cell r="AA149" t="str">
            <v/>
          </cell>
          <cell r="AB149" t="str">
            <v/>
          </cell>
          <cell r="AC149">
            <v>10</v>
          </cell>
        </row>
        <row r="150">
          <cell r="C150" t="str">
            <v>04N02</v>
          </cell>
          <cell r="D150" t="str">
            <v>PZEV -- U204, 3.0L</v>
          </cell>
          <cell r="E150">
            <v>37834</v>
          </cell>
          <cell r="F150" t="str">
            <v>MDILS</v>
          </cell>
          <cell r="G150" t="str">
            <v>RP    T</v>
          </cell>
          <cell r="H150">
            <v>32.706000000000003</v>
          </cell>
          <cell r="I150">
            <v>3.6339999999999999</v>
          </cell>
          <cell r="J150">
            <v>36.340000000000003</v>
          </cell>
          <cell r="K150">
            <v>2.8439999999999999</v>
          </cell>
          <cell r="L150">
            <v>0.316</v>
          </cell>
          <cell r="M150">
            <v>3.16</v>
          </cell>
          <cell r="N150">
            <v>3.4</v>
          </cell>
          <cell r="O150">
            <v>25.4</v>
          </cell>
          <cell r="P150">
            <v>68.3</v>
          </cell>
          <cell r="Q150" t="str">
            <v/>
          </cell>
          <cell r="R150" t="str">
            <v/>
          </cell>
          <cell r="S150" t="str">
            <v/>
          </cell>
          <cell r="T150">
            <v>14.172000000000001</v>
          </cell>
          <cell r="U150">
            <v>18.533999999999999</v>
          </cell>
          <cell r="V150">
            <v>3.6339999999999999</v>
          </cell>
          <cell r="W150" t="str">
            <v/>
          </cell>
          <cell r="X150" t="str">
            <v/>
          </cell>
          <cell r="Y150" t="str">
            <v/>
          </cell>
          <cell r="Z150" t="str">
            <v/>
          </cell>
          <cell r="AA150" t="str">
            <v/>
          </cell>
          <cell r="AB150" t="str">
            <v/>
          </cell>
          <cell r="AC150">
            <v>36.340000000000003</v>
          </cell>
        </row>
        <row r="151">
          <cell r="C151" t="str">
            <v>04N03</v>
          </cell>
          <cell r="D151" t="str">
            <v>PZEV -- NA Focus, 2.0L I4</v>
          </cell>
          <cell r="E151">
            <v>37987</v>
          </cell>
          <cell r="F151" t="str">
            <v>MDILS</v>
          </cell>
          <cell r="G151" t="str">
            <v>RP    T</v>
          </cell>
          <cell r="H151">
            <v>23.184000000000001</v>
          </cell>
          <cell r="I151">
            <v>2.5760000000000001</v>
          </cell>
          <cell r="J151">
            <v>25.76</v>
          </cell>
          <cell r="K151">
            <v>2.016</v>
          </cell>
          <cell r="L151">
            <v>0.224</v>
          </cell>
          <cell r="M151">
            <v>2.2400000000000002</v>
          </cell>
          <cell r="N151">
            <v>3.4</v>
          </cell>
          <cell r="O151">
            <v>17.899999999999999</v>
          </cell>
          <cell r="P151">
            <v>49.3</v>
          </cell>
          <cell r="Q151" t="str">
            <v/>
          </cell>
          <cell r="R151" t="str">
            <v/>
          </cell>
          <cell r="S151" t="str">
            <v/>
          </cell>
          <cell r="T151">
            <v>5.4089999999999998</v>
          </cell>
          <cell r="U151">
            <v>11.077</v>
          </cell>
          <cell r="V151">
            <v>9.2739999999999991</v>
          </cell>
          <cell r="W151" t="str">
            <v/>
          </cell>
          <cell r="X151" t="str">
            <v/>
          </cell>
          <cell r="Y151" t="str">
            <v/>
          </cell>
          <cell r="Z151" t="str">
            <v/>
          </cell>
          <cell r="AA151" t="str">
            <v/>
          </cell>
          <cell r="AB151" t="str">
            <v/>
          </cell>
          <cell r="AC151">
            <v>25.76</v>
          </cell>
        </row>
        <row r="152">
          <cell r="C152" t="str">
            <v>04N70</v>
          </cell>
          <cell r="D152" t="str">
            <v>04MY Emissions Reqt's</v>
          </cell>
          <cell r="E152">
            <v>37834</v>
          </cell>
          <cell r="F152" t="str">
            <v>MDILS</v>
          </cell>
          <cell r="G152" t="str">
            <v>RP    T</v>
          </cell>
          <cell r="H152">
            <v>195.65600000000001</v>
          </cell>
          <cell r="I152">
            <v>21.74</v>
          </cell>
          <cell r="J152">
            <v>217.39599999999999</v>
          </cell>
          <cell r="K152">
            <v>17.013999999999999</v>
          </cell>
          <cell r="L152">
            <v>1.89</v>
          </cell>
          <cell r="M152">
            <v>18.904</v>
          </cell>
          <cell r="N152">
            <v>18.899999999999999</v>
          </cell>
          <cell r="O152">
            <v>189</v>
          </cell>
          <cell r="P152">
            <v>444.2</v>
          </cell>
          <cell r="Q152" t="str">
            <v/>
          </cell>
          <cell r="R152" t="str">
            <v/>
          </cell>
          <cell r="S152" t="str">
            <v/>
          </cell>
          <cell r="T152">
            <v>84.784000000000006</v>
          </cell>
          <cell r="U152">
            <v>110.872</v>
          </cell>
          <cell r="V152">
            <v>21.74</v>
          </cell>
          <cell r="W152" t="str">
            <v/>
          </cell>
          <cell r="X152" t="str">
            <v/>
          </cell>
          <cell r="Y152" t="str">
            <v/>
          </cell>
          <cell r="Z152" t="str">
            <v/>
          </cell>
          <cell r="AA152" t="str">
            <v/>
          </cell>
          <cell r="AB152" t="str">
            <v/>
          </cell>
          <cell r="AC152">
            <v>217.39599999999999</v>
          </cell>
        </row>
        <row r="153">
          <cell r="C153" t="str">
            <v>04P14</v>
          </cell>
          <cell r="D153" t="str">
            <v>5R110W (P131/U137/V127/H215</v>
          </cell>
          <cell r="E153">
            <v>37834</v>
          </cell>
          <cell r="F153" t="str">
            <v>DLUKAS1</v>
          </cell>
          <cell r="G153" t="str">
            <v xml:space="preserve">   S  T</v>
          </cell>
          <cell r="H153">
            <v>69</v>
          </cell>
          <cell r="I153">
            <v>95.8</v>
          </cell>
          <cell r="J153">
            <v>164.8</v>
          </cell>
          <cell r="K153" t="str">
            <v/>
          </cell>
          <cell r="L153">
            <v>6</v>
          </cell>
          <cell r="M153">
            <v>6</v>
          </cell>
          <cell r="N153">
            <v>13.4</v>
          </cell>
          <cell r="O153">
            <v>28</v>
          </cell>
          <cell r="P153">
            <v>212.2</v>
          </cell>
          <cell r="Q153" t="str">
            <v/>
          </cell>
          <cell r="R153">
            <v>3</v>
          </cell>
          <cell r="S153">
            <v>55.274000000000001</v>
          </cell>
          <cell r="T153">
            <v>74.691999999999993</v>
          </cell>
          <cell r="U153">
            <v>30.033999999999999</v>
          </cell>
          <cell r="V153">
            <v>1.8</v>
          </cell>
          <cell r="W153" t="str">
            <v/>
          </cell>
          <cell r="X153" t="str">
            <v/>
          </cell>
          <cell r="Y153" t="str">
            <v/>
          </cell>
          <cell r="Z153" t="str">
            <v/>
          </cell>
          <cell r="AA153" t="str">
            <v/>
          </cell>
          <cell r="AB153" t="str">
            <v/>
          </cell>
          <cell r="AC153">
            <v>164.8</v>
          </cell>
        </row>
        <row r="154">
          <cell r="C154" t="str">
            <v>04P16</v>
          </cell>
          <cell r="D154" t="str">
            <v>FN Torque Upgrade</v>
          </cell>
          <cell r="E154">
            <v>37987</v>
          </cell>
          <cell r="F154" t="str">
            <v>DLUKAS1</v>
          </cell>
          <cell r="G154" t="str">
            <v xml:space="preserve"> P    T</v>
          </cell>
          <cell r="H154">
            <v>2.3220000000000001</v>
          </cell>
          <cell r="I154">
            <v>6.6779999999999999</v>
          </cell>
          <cell r="J154">
            <v>9</v>
          </cell>
          <cell r="K154" t="str">
            <v/>
          </cell>
          <cell r="L154" t="str">
            <v/>
          </cell>
          <cell r="M154" t="str">
            <v/>
          </cell>
          <cell r="N154">
            <v>1</v>
          </cell>
          <cell r="O154">
            <v>5</v>
          </cell>
          <cell r="P154">
            <v>15</v>
          </cell>
          <cell r="Q154" t="str">
            <v/>
          </cell>
          <cell r="R154" t="str">
            <v/>
          </cell>
          <cell r="S154" t="str">
            <v/>
          </cell>
          <cell r="T154">
            <v>0.53</v>
          </cell>
          <cell r="U154">
            <v>4.7140000000000004</v>
          </cell>
          <cell r="V154">
            <v>3.2429999999999999</v>
          </cell>
          <cell r="W154">
            <v>0.51300000000000001</v>
          </cell>
          <cell r="X154" t="str">
            <v/>
          </cell>
          <cell r="Y154" t="str">
            <v/>
          </cell>
          <cell r="Z154" t="str">
            <v/>
          </cell>
          <cell r="AA154" t="str">
            <v/>
          </cell>
          <cell r="AB154" t="str">
            <v/>
          </cell>
          <cell r="AC154">
            <v>9</v>
          </cell>
        </row>
        <row r="155">
          <cell r="C155" t="str">
            <v>04P17</v>
          </cell>
          <cell r="D155" t="str">
            <v>FN Trans for New I4</v>
          </cell>
          <cell r="E155">
            <v>37987</v>
          </cell>
          <cell r="F155" t="str">
            <v>JWHEELER</v>
          </cell>
          <cell r="G155" t="str">
            <v xml:space="preserve"> P    T</v>
          </cell>
          <cell r="H155">
            <v>2.2189999999999999</v>
          </cell>
          <cell r="I155">
            <v>6.3810000000000002</v>
          </cell>
          <cell r="J155">
            <v>8.6</v>
          </cell>
          <cell r="K155" t="str">
            <v/>
          </cell>
          <cell r="L155" t="str">
            <v/>
          </cell>
          <cell r="M155" t="str">
            <v/>
          </cell>
          <cell r="N155">
            <v>1.2</v>
          </cell>
          <cell r="O155">
            <v>4.5999999999999996</v>
          </cell>
          <cell r="P155">
            <v>14.4</v>
          </cell>
          <cell r="Q155" t="str">
            <v/>
          </cell>
          <cell r="R155" t="str">
            <v/>
          </cell>
          <cell r="S155" t="str">
            <v/>
          </cell>
          <cell r="T155">
            <v>0.50700000000000001</v>
          </cell>
          <cell r="U155">
            <v>4.5060000000000002</v>
          </cell>
          <cell r="V155">
            <v>3.097</v>
          </cell>
          <cell r="W155">
            <v>0.49</v>
          </cell>
          <cell r="X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8.6</v>
          </cell>
        </row>
        <row r="156">
          <cell r="C156" t="str">
            <v>04P19</v>
          </cell>
          <cell r="D156" t="str">
            <v>CFT23 for N.A. C170</v>
          </cell>
          <cell r="E156">
            <v>37987</v>
          </cell>
          <cell r="F156" t="str">
            <v>DLUCAS1</v>
          </cell>
          <cell r="G156" t="str">
            <v xml:space="preserve">       </v>
          </cell>
          <cell r="H156">
            <v>5.3209999999999997</v>
          </cell>
          <cell r="I156">
            <v>7.6790000000000003</v>
          </cell>
          <cell r="J156">
            <v>13</v>
          </cell>
          <cell r="K156">
            <v>0.39600000000000002</v>
          </cell>
          <cell r="L156">
            <v>0.60399999999999998</v>
          </cell>
          <cell r="M156">
            <v>1</v>
          </cell>
          <cell r="N156">
            <v>1</v>
          </cell>
          <cell r="O156">
            <v>5</v>
          </cell>
          <cell r="P156">
            <v>20</v>
          </cell>
          <cell r="Q156" t="str">
            <v/>
          </cell>
          <cell r="R156" t="str">
            <v/>
          </cell>
          <cell r="S156" t="str">
            <v/>
          </cell>
          <cell r="T156">
            <v>2.2120000000000002</v>
          </cell>
          <cell r="U156">
            <v>7.5030000000000001</v>
          </cell>
          <cell r="V156">
            <v>2.93</v>
          </cell>
          <cell r="W156">
            <v>0.35499999999999998</v>
          </cell>
          <cell r="X156" t="str">
            <v/>
          </cell>
          <cell r="Y156" t="str">
            <v/>
          </cell>
          <cell r="Z156" t="str">
            <v/>
          </cell>
          <cell r="AA156" t="str">
            <v/>
          </cell>
          <cell r="AB156" t="str">
            <v/>
          </cell>
          <cell r="AC156">
            <v>13</v>
          </cell>
        </row>
        <row r="157">
          <cell r="C157" t="str">
            <v>04P20</v>
          </cell>
          <cell r="D157" t="str">
            <v>CFT30 CD/D at Batavia</v>
          </cell>
          <cell r="E157">
            <v>37834</v>
          </cell>
          <cell r="F157" t="str">
            <v>DLUKAS1</v>
          </cell>
          <cell r="G157" t="str">
            <v xml:space="preserve"> P   CT</v>
          </cell>
          <cell r="H157">
            <v>19.427</v>
          </cell>
          <cell r="I157">
            <v>55.872999999999998</v>
          </cell>
          <cell r="J157">
            <v>75.3</v>
          </cell>
          <cell r="K157" t="str">
            <v/>
          </cell>
          <cell r="L157" t="str">
            <v/>
          </cell>
          <cell r="M157" t="str">
            <v/>
          </cell>
          <cell r="N157">
            <v>2</v>
          </cell>
          <cell r="O157">
            <v>37</v>
          </cell>
          <cell r="P157">
            <v>114.3</v>
          </cell>
          <cell r="Q157" t="str">
            <v/>
          </cell>
          <cell r="R157" t="str">
            <v/>
          </cell>
          <cell r="S157" t="str">
            <v/>
          </cell>
          <cell r="T157">
            <v>12.927</v>
          </cell>
          <cell r="U157">
            <v>46.698</v>
          </cell>
          <cell r="V157">
            <v>15.675000000000001</v>
          </cell>
          <cell r="W157" t="str">
            <v/>
          </cell>
          <cell r="X157" t="str">
            <v/>
          </cell>
          <cell r="Y157" t="str">
            <v/>
          </cell>
          <cell r="Z157" t="str">
            <v/>
          </cell>
          <cell r="AA157" t="str">
            <v/>
          </cell>
          <cell r="AB157" t="str">
            <v/>
          </cell>
          <cell r="AC157">
            <v>75.3</v>
          </cell>
        </row>
        <row r="158">
          <cell r="C158" t="str">
            <v>04P25</v>
          </cell>
          <cell r="D158" t="str">
            <v>6.8L VDE for Navigator</v>
          </cell>
          <cell r="E158">
            <v>37834</v>
          </cell>
          <cell r="F158" t="str">
            <v>FOHEARN</v>
          </cell>
          <cell r="G158" t="str">
            <v xml:space="preserve"> P    T</v>
          </cell>
          <cell r="H158">
            <v>9.8439999999999994</v>
          </cell>
          <cell r="I158">
            <v>14.256</v>
          </cell>
          <cell r="J158">
            <v>24.1</v>
          </cell>
          <cell r="K158">
            <v>0.378</v>
          </cell>
          <cell r="L158">
            <v>0.52200000000000002</v>
          </cell>
          <cell r="M158">
            <v>0.9</v>
          </cell>
          <cell r="N158">
            <v>3</v>
          </cell>
          <cell r="O158">
            <v>9</v>
          </cell>
          <cell r="P158">
            <v>37</v>
          </cell>
          <cell r="Q158" t="str">
            <v/>
          </cell>
          <cell r="R158" t="str">
            <v/>
          </cell>
          <cell r="S158">
            <v>0.03</v>
          </cell>
          <cell r="T158">
            <v>9.0820000000000007</v>
          </cell>
          <cell r="U158">
            <v>12.291</v>
          </cell>
          <cell r="V158">
            <v>2.6970000000000001</v>
          </cell>
          <cell r="W158" t="str">
            <v/>
          </cell>
          <cell r="X158" t="str">
            <v/>
          </cell>
          <cell r="Y158" t="str">
            <v/>
          </cell>
          <cell r="Z158" t="str">
            <v/>
          </cell>
          <cell r="AA158" t="str">
            <v/>
          </cell>
          <cell r="AB158" t="str">
            <v/>
          </cell>
          <cell r="AC158">
            <v>24.1</v>
          </cell>
        </row>
        <row r="159">
          <cell r="C159" t="str">
            <v>04P27</v>
          </cell>
          <cell r="D159" t="str">
            <v>4.6L V8 MOD 4V for FN145</v>
          </cell>
          <cell r="E159">
            <v>37834</v>
          </cell>
          <cell r="F159" t="str">
            <v>MFONTANA</v>
          </cell>
          <cell r="G159" t="str">
            <v xml:space="preserve">       </v>
          </cell>
          <cell r="H159">
            <v>4.093</v>
          </cell>
          <cell r="I159">
            <v>5.907</v>
          </cell>
          <cell r="J159">
            <v>10</v>
          </cell>
          <cell r="K159">
            <v>0.39600000000000002</v>
          </cell>
          <cell r="L159">
            <v>0.60399999999999998</v>
          </cell>
          <cell r="M159">
            <v>1</v>
          </cell>
          <cell r="N159">
            <v>2</v>
          </cell>
          <cell r="O159">
            <v>6</v>
          </cell>
          <cell r="P159">
            <v>19</v>
          </cell>
          <cell r="Q159" t="str">
            <v/>
          </cell>
          <cell r="R159" t="str">
            <v/>
          </cell>
          <cell r="S159">
            <v>1.2E-2</v>
          </cell>
          <cell r="T159">
            <v>3.7690000000000001</v>
          </cell>
          <cell r="U159">
            <v>5.1050000000000004</v>
          </cell>
          <cell r="V159">
            <v>1.1140000000000001</v>
          </cell>
          <cell r="W159" t="str">
            <v/>
          </cell>
          <cell r="X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10</v>
          </cell>
        </row>
        <row r="160">
          <cell r="C160" t="str">
            <v>04P31</v>
          </cell>
          <cell r="D160" t="str">
            <v>4.2L AJ V8 Engine for F237</v>
          </cell>
          <cell r="E160">
            <v>37987</v>
          </cell>
          <cell r="F160" t="str">
            <v>FOHEARN</v>
          </cell>
          <cell r="G160" t="str">
            <v xml:space="preserve">      T</v>
          </cell>
          <cell r="H160">
            <v>11.813000000000001</v>
          </cell>
          <cell r="I160">
            <v>17.106999999999999</v>
          </cell>
          <cell r="J160">
            <v>28.92</v>
          </cell>
          <cell r="K160">
            <v>0.45300000000000001</v>
          </cell>
          <cell r="L160">
            <v>0.627</v>
          </cell>
          <cell r="M160">
            <v>1.08</v>
          </cell>
          <cell r="N160">
            <v>5</v>
          </cell>
          <cell r="O160">
            <v>15</v>
          </cell>
          <cell r="P160">
            <v>50</v>
          </cell>
          <cell r="Q160" t="str">
            <v/>
          </cell>
          <cell r="R160" t="str">
            <v/>
          </cell>
          <cell r="S160" t="str">
            <v/>
          </cell>
          <cell r="T160">
            <v>4.9180000000000001</v>
          </cell>
          <cell r="U160">
            <v>16.690999999999999</v>
          </cell>
          <cell r="V160">
            <v>6.5179999999999998</v>
          </cell>
          <cell r="W160">
            <v>0.79300000000000004</v>
          </cell>
          <cell r="X160" t="str">
            <v/>
          </cell>
          <cell r="Y160" t="str">
            <v/>
          </cell>
          <cell r="Z160" t="str">
            <v/>
          </cell>
          <cell r="AA160" t="str">
            <v/>
          </cell>
          <cell r="AB160" t="str">
            <v/>
          </cell>
          <cell r="AC160">
            <v>28.92</v>
          </cell>
        </row>
        <row r="161">
          <cell r="C161" t="str">
            <v>04P49</v>
          </cell>
          <cell r="D161" t="str">
            <v>Duratec Fuel Econ for RFF</v>
          </cell>
          <cell r="E161">
            <v>37834</v>
          </cell>
          <cell r="F161" t="str">
            <v>DDESCHAM</v>
          </cell>
          <cell r="G161" t="str">
            <v xml:space="preserve"> P    T</v>
          </cell>
          <cell r="H161">
            <v>37.883000000000003</v>
          </cell>
          <cell r="I161">
            <v>54.703000000000003</v>
          </cell>
          <cell r="J161">
            <v>92.585999999999999</v>
          </cell>
          <cell r="K161">
            <v>1.3680000000000001</v>
          </cell>
          <cell r="L161">
            <v>2.0459999999999998</v>
          </cell>
          <cell r="M161">
            <v>3.4140000000000001</v>
          </cell>
          <cell r="N161">
            <v>14</v>
          </cell>
          <cell r="O161">
            <v>45</v>
          </cell>
          <cell r="P161">
            <v>155</v>
          </cell>
          <cell r="Q161" t="str">
            <v/>
          </cell>
          <cell r="R161" t="str">
            <v/>
          </cell>
          <cell r="S161">
            <v>0.112</v>
          </cell>
          <cell r="T161">
            <v>34.871000000000002</v>
          </cell>
          <cell r="U161">
            <v>47.238</v>
          </cell>
          <cell r="V161">
            <v>10.365</v>
          </cell>
          <cell r="W161" t="str">
            <v/>
          </cell>
          <cell r="X161" t="str">
            <v/>
          </cell>
          <cell r="Y161" t="str">
            <v/>
          </cell>
          <cell r="Z161" t="str">
            <v/>
          </cell>
          <cell r="AA161" t="str">
            <v/>
          </cell>
          <cell r="AB161" t="str">
            <v/>
          </cell>
          <cell r="AC161">
            <v>92.585999999999999</v>
          </cell>
        </row>
        <row r="162">
          <cell r="C162" t="str">
            <v>04P53</v>
          </cell>
          <cell r="D162" t="str">
            <v>3.0L EP Diesel for U251</v>
          </cell>
          <cell r="E162">
            <v>38018</v>
          </cell>
          <cell r="F162" t="str">
            <v>JGRASINS</v>
          </cell>
          <cell r="G162" t="str">
            <v xml:space="preserve">      T</v>
          </cell>
          <cell r="H162">
            <v>8.2690000000000001</v>
          </cell>
          <cell r="I162">
            <v>11.975</v>
          </cell>
          <cell r="J162">
            <v>20.244</v>
          </cell>
          <cell r="K162">
            <v>0.317</v>
          </cell>
          <cell r="L162">
            <v>0.439</v>
          </cell>
          <cell r="M162">
            <v>0.75600000000000001</v>
          </cell>
          <cell r="N162">
            <v>1.5</v>
          </cell>
          <cell r="O162">
            <v>7.5</v>
          </cell>
          <cell r="P162">
            <v>30</v>
          </cell>
          <cell r="Q162" t="str">
            <v/>
          </cell>
          <cell r="R162" t="str">
            <v/>
          </cell>
          <cell r="S162" t="str">
            <v/>
          </cell>
          <cell r="T162">
            <v>2.6749999999999998</v>
          </cell>
          <cell r="U162">
            <v>11.393000000000001</v>
          </cell>
          <cell r="V162">
            <v>5.4610000000000003</v>
          </cell>
          <cell r="W162">
            <v>0.71499999999999997</v>
          </cell>
          <cell r="X162" t="str">
            <v/>
          </cell>
          <cell r="Y162" t="str">
            <v/>
          </cell>
          <cell r="Z162" t="str">
            <v/>
          </cell>
          <cell r="AA162" t="str">
            <v/>
          </cell>
          <cell r="AB162" t="str">
            <v/>
          </cell>
          <cell r="AC162">
            <v>20.244</v>
          </cell>
        </row>
        <row r="163">
          <cell r="C163" t="str">
            <v>04P54</v>
          </cell>
          <cell r="D163" t="str">
            <v>V8/V10 3V Mod Upgrade Phase I</v>
          </cell>
          <cell r="E163">
            <v>37834</v>
          </cell>
          <cell r="F163" t="str">
            <v>FOHEARN</v>
          </cell>
          <cell r="G163" t="str">
            <v xml:space="preserve"> PASV T</v>
          </cell>
          <cell r="H163">
            <v>99.587000000000003</v>
          </cell>
          <cell r="I163">
            <v>388.82900000000001</v>
          </cell>
          <cell r="J163">
            <v>488.416</v>
          </cell>
          <cell r="K163">
            <v>10.682</v>
          </cell>
          <cell r="L163">
            <v>48.323</v>
          </cell>
          <cell r="M163">
            <v>59.005000000000003</v>
          </cell>
          <cell r="N163">
            <v>62</v>
          </cell>
          <cell r="O163">
            <v>82.9</v>
          </cell>
          <cell r="P163">
            <v>692.32100000000003</v>
          </cell>
          <cell r="Q163" t="str">
            <v/>
          </cell>
          <cell r="R163">
            <v>45.055999999999997</v>
          </cell>
          <cell r="S163">
            <v>93.6</v>
          </cell>
          <cell r="T163">
            <v>196.761</v>
          </cell>
          <cell r="U163">
            <v>126.741</v>
          </cell>
          <cell r="V163">
            <v>26.257999999999999</v>
          </cell>
          <cell r="W163" t="str">
            <v/>
          </cell>
          <cell r="X163" t="str">
            <v/>
          </cell>
          <cell r="Y163" t="str">
            <v/>
          </cell>
          <cell r="Z163" t="str">
            <v/>
          </cell>
          <cell r="AA163" t="str">
            <v/>
          </cell>
          <cell r="AB163" t="str">
            <v/>
          </cell>
          <cell r="AC163">
            <v>488.416</v>
          </cell>
        </row>
        <row r="164">
          <cell r="C164" t="str">
            <v>04P58</v>
          </cell>
          <cell r="D164" t="str">
            <v>6.0L V8 Navistar for V127</v>
          </cell>
          <cell r="E164">
            <v>37834</v>
          </cell>
          <cell r="F164" t="str">
            <v>GLAVAUTE</v>
          </cell>
          <cell r="G164" t="str">
            <v xml:space="preserve">      T</v>
          </cell>
          <cell r="H164">
            <v>2.2050000000000001</v>
          </cell>
          <cell r="I164">
            <v>3.1930000000000001</v>
          </cell>
          <cell r="J164">
            <v>5.3979999999999997</v>
          </cell>
          <cell r="K164">
            <v>8.5000000000000006E-2</v>
          </cell>
          <cell r="L164">
            <v>0.11700000000000001</v>
          </cell>
          <cell r="M164">
            <v>0.20200000000000001</v>
          </cell>
          <cell r="N164">
            <v>1</v>
          </cell>
          <cell r="O164">
            <v>1</v>
          </cell>
          <cell r="P164">
            <v>7.6</v>
          </cell>
          <cell r="Q164" t="str">
            <v/>
          </cell>
          <cell r="R164" t="str">
            <v/>
          </cell>
          <cell r="S164">
            <v>6.0000000000000001E-3</v>
          </cell>
          <cell r="T164">
            <v>2.0329999999999999</v>
          </cell>
          <cell r="U164">
            <v>2.7549999999999999</v>
          </cell>
          <cell r="V164">
            <v>0.60399999999999998</v>
          </cell>
          <cell r="W164" t="str">
            <v/>
          </cell>
          <cell r="X164" t="str">
            <v/>
          </cell>
          <cell r="Y164" t="str">
            <v/>
          </cell>
          <cell r="Z164" t="str">
            <v/>
          </cell>
          <cell r="AA164" t="str">
            <v/>
          </cell>
          <cell r="AB164" t="str">
            <v/>
          </cell>
          <cell r="AC164">
            <v>5.3979999999999997</v>
          </cell>
        </row>
        <row r="165">
          <cell r="C165" t="str">
            <v>05N70</v>
          </cell>
          <cell r="D165" t="str">
            <v>05MY Emissions Reqt's</v>
          </cell>
          <cell r="E165">
            <v>38200</v>
          </cell>
          <cell r="F165" t="str">
            <v>MDILS</v>
          </cell>
          <cell r="G165" t="str">
            <v>RP    T</v>
          </cell>
          <cell r="H165">
            <v>240.45099999999999</v>
          </cell>
          <cell r="I165">
            <v>26.716999999999999</v>
          </cell>
          <cell r="J165">
            <v>267.16800000000001</v>
          </cell>
          <cell r="K165">
            <v>20.908999999999999</v>
          </cell>
          <cell r="L165">
            <v>2.323</v>
          </cell>
          <cell r="M165">
            <v>23.231999999999999</v>
          </cell>
          <cell r="N165">
            <v>23.7</v>
          </cell>
          <cell r="O165">
            <v>262.7</v>
          </cell>
          <cell r="P165">
            <v>576.79999999999995</v>
          </cell>
          <cell r="Q165" t="str">
            <v/>
          </cell>
          <cell r="R165" t="str">
            <v/>
          </cell>
          <cell r="S165" t="str">
            <v/>
          </cell>
          <cell r="T165" t="str">
            <v/>
          </cell>
          <cell r="U165">
            <v>104.19499999999999</v>
          </cell>
          <cell r="V165">
            <v>136.25700000000001</v>
          </cell>
          <cell r="W165">
            <v>26.716000000000001</v>
          </cell>
          <cell r="X165" t="str">
            <v/>
          </cell>
          <cell r="Y165" t="str">
            <v/>
          </cell>
          <cell r="Z165" t="str">
            <v/>
          </cell>
          <cell r="AA165" t="str">
            <v/>
          </cell>
          <cell r="AB165" t="str">
            <v/>
          </cell>
          <cell r="AC165">
            <v>267.16800000000001</v>
          </cell>
        </row>
        <row r="166">
          <cell r="C166" t="str">
            <v>05P03</v>
          </cell>
          <cell r="D166" t="str">
            <v>6R A/T -- Line 1</v>
          </cell>
          <cell r="E166">
            <v>38200</v>
          </cell>
          <cell r="F166" t="str">
            <v>DLUKAS1</v>
          </cell>
          <cell r="G166" t="str">
            <v xml:space="preserve"> P S  T</v>
          </cell>
          <cell r="H166">
            <v>100.43899999999999</v>
          </cell>
          <cell r="I166">
            <v>281.87700000000001</v>
          </cell>
          <cell r="J166">
            <v>382.31599999999997</v>
          </cell>
          <cell r="K166" t="str">
            <v/>
          </cell>
          <cell r="L166" t="str">
            <v/>
          </cell>
          <cell r="M166" t="str">
            <v/>
          </cell>
          <cell r="N166">
            <v>29</v>
          </cell>
          <cell r="O166">
            <v>150</v>
          </cell>
          <cell r="P166">
            <v>561.31600000000003</v>
          </cell>
          <cell r="Q166" t="str">
            <v/>
          </cell>
          <cell r="R166" t="str">
            <v/>
          </cell>
          <cell r="S166">
            <v>37</v>
          </cell>
          <cell r="T166">
            <v>28</v>
          </cell>
          <cell r="U166">
            <v>89.350999999999999</v>
          </cell>
          <cell r="V166">
            <v>199.64500000000001</v>
          </cell>
          <cell r="W166">
            <v>28.32</v>
          </cell>
          <cell r="X166" t="str">
            <v/>
          </cell>
          <cell r="Y166" t="str">
            <v/>
          </cell>
          <cell r="Z166" t="str">
            <v/>
          </cell>
          <cell r="AA166" t="str">
            <v/>
          </cell>
          <cell r="AB166" t="str">
            <v/>
          </cell>
          <cell r="AC166">
            <v>382.31599999999997</v>
          </cell>
        </row>
        <row r="167">
          <cell r="C167" t="str">
            <v>05P04</v>
          </cell>
          <cell r="D167" t="str">
            <v>New V6 -- Line 1 (LEP)</v>
          </cell>
          <cell r="E167">
            <v>38200</v>
          </cell>
          <cell r="F167" t="str">
            <v>VKRESS</v>
          </cell>
          <cell r="G167" t="str">
            <v xml:space="preserve"> P    T</v>
          </cell>
          <cell r="H167">
            <v>165.07499999999999</v>
          </cell>
          <cell r="I167">
            <v>366.02499999999998</v>
          </cell>
          <cell r="J167">
            <v>531.1</v>
          </cell>
          <cell r="K167">
            <v>15.026</v>
          </cell>
          <cell r="L167">
            <v>34.973999999999997</v>
          </cell>
          <cell r="M167">
            <v>50</v>
          </cell>
          <cell r="N167">
            <v>26</v>
          </cell>
          <cell r="O167">
            <v>66</v>
          </cell>
          <cell r="P167">
            <v>673.1</v>
          </cell>
          <cell r="Q167" t="str">
            <v/>
          </cell>
          <cell r="R167" t="str">
            <v/>
          </cell>
          <cell r="S167" t="str">
            <v/>
          </cell>
          <cell r="T167">
            <v>0.78200000000000003</v>
          </cell>
          <cell r="U167">
            <v>210.49</v>
          </cell>
          <cell r="V167">
            <v>264.39600000000002</v>
          </cell>
          <cell r="W167">
            <v>55.432000000000002</v>
          </cell>
          <cell r="X167" t="str">
            <v/>
          </cell>
          <cell r="Y167" t="str">
            <v/>
          </cell>
          <cell r="Z167" t="str">
            <v/>
          </cell>
          <cell r="AA167" t="str">
            <v/>
          </cell>
          <cell r="AB167" t="str">
            <v/>
          </cell>
          <cell r="AC167">
            <v>531.1</v>
          </cell>
        </row>
        <row r="168">
          <cell r="C168" t="str">
            <v>05P05</v>
          </cell>
          <cell r="D168" t="str">
            <v>New V6 -- Line 2 (LEP)</v>
          </cell>
          <cell r="E168">
            <v>38384</v>
          </cell>
          <cell r="F168" t="str">
            <v>VKRESS</v>
          </cell>
          <cell r="G168" t="str">
            <v xml:space="preserve"> P    T</v>
          </cell>
          <cell r="H168">
            <v>76.242999999999995</v>
          </cell>
          <cell r="I168">
            <v>169.05699999999999</v>
          </cell>
          <cell r="J168">
            <v>245.3</v>
          </cell>
          <cell r="K168" t="str">
            <v/>
          </cell>
          <cell r="L168" t="str">
            <v/>
          </cell>
          <cell r="M168" t="str">
            <v/>
          </cell>
          <cell r="N168">
            <v>20</v>
          </cell>
          <cell r="O168">
            <v>44</v>
          </cell>
          <cell r="P168">
            <v>309.3</v>
          </cell>
          <cell r="Q168" t="str">
            <v/>
          </cell>
          <cell r="R168" t="str">
            <v/>
          </cell>
          <cell r="S168" t="str">
            <v/>
          </cell>
          <cell r="T168" t="str">
            <v/>
          </cell>
          <cell r="U168">
            <v>33.698</v>
          </cell>
          <cell r="V168">
            <v>142.792</v>
          </cell>
          <cell r="W168">
            <v>60.71</v>
          </cell>
          <cell r="X168">
            <v>8.1</v>
          </cell>
          <cell r="Y168" t="str">
            <v/>
          </cell>
          <cell r="Z168" t="str">
            <v/>
          </cell>
          <cell r="AA168" t="str">
            <v/>
          </cell>
          <cell r="AB168" t="str">
            <v/>
          </cell>
          <cell r="AC168">
            <v>237.2</v>
          </cell>
        </row>
        <row r="169">
          <cell r="C169" t="str">
            <v>05P06</v>
          </cell>
          <cell r="D169" t="str">
            <v>3V/4V Upgrade for U228</v>
          </cell>
          <cell r="E169">
            <v>38200</v>
          </cell>
          <cell r="F169" t="str">
            <v>FOHEARN</v>
          </cell>
          <cell r="G169" t="str">
            <v xml:space="preserve"> P    T</v>
          </cell>
          <cell r="H169">
            <v>14.962999999999999</v>
          </cell>
          <cell r="I169">
            <v>21.669</v>
          </cell>
          <cell r="J169">
            <v>36.631999999999998</v>
          </cell>
          <cell r="K169">
            <v>0.57399999999999995</v>
          </cell>
          <cell r="L169">
            <v>0.79400000000000004</v>
          </cell>
          <cell r="M169">
            <v>1.3680000000000001</v>
          </cell>
          <cell r="N169">
            <v>4</v>
          </cell>
          <cell r="O169">
            <v>15.4</v>
          </cell>
          <cell r="P169">
            <v>57.4</v>
          </cell>
          <cell r="Q169" t="str">
            <v/>
          </cell>
          <cell r="R169" t="str">
            <v/>
          </cell>
          <cell r="S169" t="str">
            <v/>
          </cell>
          <cell r="T169">
            <v>4.3999999999999997E-2</v>
          </cell>
          <cell r="U169">
            <v>13.803000000000001</v>
          </cell>
          <cell r="V169">
            <v>18.686</v>
          </cell>
          <cell r="W169">
            <v>4.0990000000000002</v>
          </cell>
          <cell r="X169" t="str">
            <v/>
          </cell>
          <cell r="Y169" t="str">
            <v/>
          </cell>
          <cell r="Z169" t="str">
            <v/>
          </cell>
          <cell r="AA169" t="str">
            <v/>
          </cell>
          <cell r="AB169" t="str">
            <v/>
          </cell>
          <cell r="AC169">
            <v>36.631999999999998</v>
          </cell>
        </row>
        <row r="170">
          <cell r="C170" t="str">
            <v>05P21</v>
          </cell>
          <cell r="D170" t="str">
            <v>4.0LSOHC VCT P221 Veh. Inst</v>
          </cell>
          <cell r="E170">
            <v>38200</v>
          </cell>
          <cell r="F170" t="str">
            <v>GBECHARD</v>
          </cell>
          <cell r="G170" t="str">
            <v xml:space="preserve"> P    T</v>
          </cell>
          <cell r="H170">
            <v>3.11</v>
          </cell>
          <cell r="I170">
            <v>4.5049999999999999</v>
          </cell>
          <cell r="J170">
            <v>7.6150000000000002</v>
          </cell>
          <cell r="K170">
            <v>0.12</v>
          </cell>
          <cell r="L170">
            <v>0.16500000000000001</v>
          </cell>
          <cell r="M170">
            <v>0.28499999999999998</v>
          </cell>
          <cell r="N170">
            <v>1.05</v>
          </cell>
          <cell r="O170">
            <v>5.4</v>
          </cell>
          <cell r="P170">
            <v>14.35</v>
          </cell>
          <cell r="Q170" t="str">
            <v/>
          </cell>
          <cell r="R170" t="str">
            <v/>
          </cell>
          <cell r="S170" t="str">
            <v/>
          </cell>
          <cell r="T170">
            <v>0.01</v>
          </cell>
          <cell r="U170">
            <v>2.8679999999999999</v>
          </cell>
          <cell r="V170">
            <v>3.8860000000000001</v>
          </cell>
          <cell r="W170">
            <v>0.85099999999999998</v>
          </cell>
          <cell r="X170" t="str">
            <v/>
          </cell>
          <cell r="Y170" t="str">
            <v/>
          </cell>
          <cell r="Z170" t="str">
            <v/>
          </cell>
          <cell r="AA170" t="str">
            <v/>
          </cell>
          <cell r="AB170" t="str">
            <v/>
          </cell>
          <cell r="AC170">
            <v>7.6150000000000002</v>
          </cell>
        </row>
        <row r="171">
          <cell r="C171" t="str">
            <v>05P52</v>
          </cell>
          <cell r="D171" t="str">
            <v>I4/I5 NA Flex Provision</v>
          </cell>
          <cell r="E171">
            <v>38384</v>
          </cell>
          <cell r="F171" t="str">
            <v>CPARKER5</v>
          </cell>
          <cell r="G171" t="str">
            <v xml:space="preserve"> P    T</v>
          </cell>
          <cell r="H171">
            <v>36.584000000000003</v>
          </cell>
          <cell r="I171">
            <v>81.116</v>
          </cell>
          <cell r="J171">
            <v>117.7</v>
          </cell>
          <cell r="K171">
            <v>1.472</v>
          </cell>
          <cell r="L171">
            <v>3.4279999999999999</v>
          </cell>
          <cell r="M171">
            <v>4.9000000000000004</v>
          </cell>
          <cell r="N171">
            <v>19</v>
          </cell>
          <cell r="O171">
            <v>30</v>
          </cell>
          <cell r="P171">
            <v>171.6</v>
          </cell>
          <cell r="Q171" t="str">
            <v/>
          </cell>
          <cell r="R171" t="str">
            <v/>
          </cell>
          <cell r="S171" t="str">
            <v/>
          </cell>
          <cell r="T171" t="str">
            <v/>
          </cell>
          <cell r="U171">
            <v>16.167999999999999</v>
          </cell>
          <cell r="V171">
            <v>68.515000000000001</v>
          </cell>
          <cell r="W171">
            <v>29.129000000000001</v>
          </cell>
          <cell r="X171">
            <v>3.8879999999999999</v>
          </cell>
          <cell r="Y171" t="str">
            <v/>
          </cell>
          <cell r="Z171" t="str">
            <v/>
          </cell>
          <cell r="AA171" t="str">
            <v/>
          </cell>
          <cell r="AB171" t="str">
            <v/>
          </cell>
          <cell r="AC171">
            <v>113.812</v>
          </cell>
        </row>
        <row r="172">
          <cell r="C172" t="str">
            <v>05P53</v>
          </cell>
          <cell r="D172" t="str">
            <v>4.6L 3V Bundle-Romeo-Phs II</v>
          </cell>
          <cell r="E172">
            <v>38200</v>
          </cell>
          <cell r="F172" t="str">
            <v>FOHEARN</v>
          </cell>
          <cell r="G172" t="str">
            <v xml:space="preserve"> P    T</v>
          </cell>
          <cell r="H172">
            <v>88.98</v>
          </cell>
          <cell r="I172">
            <v>207.62</v>
          </cell>
          <cell r="J172">
            <v>296.60000000000002</v>
          </cell>
          <cell r="K172">
            <v>10.92</v>
          </cell>
          <cell r="L172">
            <v>25.48</v>
          </cell>
          <cell r="M172">
            <v>36.4</v>
          </cell>
          <cell r="N172">
            <v>41</v>
          </cell>
          <cell r="O172">
            <v>25.4</v>
          </cell>
          <cell r="P172">
            <v>399.4</v>
          </cell>
          <cell r="Q172" t="str">
            <v/>
          </cell>
          <cell r="R172" t="str">
            <v/>
          </cell>
          <cell r="S172" t="str">
            <v/>
          </cell>
          <cell r="T172">
            <v>0.316</v>
          </cell>
          <cell r="U172">
            <v>120.06699999999999</v>
          </cell>
          <cell r="V172">
            <v>145.39400000000001</v>
          </cell>
          <cell r="W172">
            <v>30.823</v>
          </cell>
          <cell r="X172" t="str">
            <v/>
          </cell>
          <cell r="Y172" t="str">
            <v/>
          </cell>
          <cell r="Z172" t="str">
            <v/>
          </cell>
          <cell r="AA172" t="str">
            <v/>
          </cell>
          <cell r="AB172" t="str">
            <v/>
          </cell>
          <cell r="AC172">
            <v>296.60000000000002</v>
          </cell>
        </row>
        <row r="173">
          <cell r="C173" t="str">
            <v>05P55</v>
          </cell>
          <cell r="D173" t="str">
            <v>4.6L Mod V8 4V Mach to REP</v>
          </cell>
          <cell r="E173">
            <v>38200</v>
          </cell>
          <cell r="F173" t="str">
            <v>TMOSTILE</v>
          </cell>
          <cell r="G173" t="str">
            <v xml:space="preserve">       </v>
          </cell>
          <cell r="H173">
            <v>31.172999999999998</v>
          </cell>
          <cell r="I173">
            <v>13.359</v>
          </cell>
          <cell r="J173">
            <v>44.531999999999996</v>
          </cell>
          <cell r="K173">
            <v>1.7270000000000001</v>
          </cell>
          <cell r="L173">
            <v>0.74099999999999999</v>
          </cell>
          <cell r="M173">
            <v>2.468</v>
          </cell>
          <cell r="N173">
            <v>5</v>
          </cell>
          <cell r="O173">
            <v>18</v>
          </cell>
          <cell r="P173">
            <v>70</v>
          </cell>
          <cell r="Q173" t="str">
            <v/>
          </cell>
          <cell r="R173" t="str">
            <v/>
          </cell>
          <cell r="S173" t="str">
            <v/>
          </cell>
          <cell r="T173" t="str">
            <v/>
          </cell>
          <cell r="U173">
            <v>11.355</v>
          </cell>
          <cell r="V173">
            <v>25.172999999999998</v>
          </cell>
          <cell r="W173">
            <v>8.0039999999999996</v>
          </cell>
          <cell r="X173" t="str">
            <v/>
          </cell>
          <cell r="Y173" t="str">
            <v/>
          </cell>
          <cell r="Z173" t="str">
            <v/>
          </cell>
          <cell r="AA173" t="str">
            <v/>
          </cell>
          <cell r="AB173" t="str">
            <v/>
          </cell>
          <cell r="AC173">
            <v>44.531999999999996</v>
          </cell>
        </row>
        <row r="174">
          <cell r="C174" t="str">
            <v>06N70</v>
          </cell>
          <cell r="D174" t="str">
            <v>06MY Emissions Reqt's</v>
          </cell>
          <cell r="E174">
            <v>38565</v>
          </cell>
          <cell r="F174" t="str">
            <v>MDILS</v>
          </cell>
          <cell r="G174" t="str">
            <v>RP    T</v>
          </cell>
          <cell r="H174">
            <v>41.4</v>
          </cell>
          <cell r="I174">
            <v>4.5999999999999996</v>
          </cell>
          <cell r="J174">
            <v>46</v>
          </cell>
          <cell r="K174">
            <v>3.6</v>
          </cell>
          <cell r="L174">
            <v>0.4</v>
          </cell>
          <cell r="M174">
            <v>4</v>
          </cell>
          <cell r="N174">
            <v>4</v>
          </cell>
          <cell r="O174">
            <v>40</v>
          </cell>
          <cell r="P174">
            <v>94</v>
          </cell>
          <cell r="Q174" t="str">
            <v/>
          </cell>
          <cell r="R174" t="str">
            <v/>
          </cell>
          <cell r="S174" t="str">
            <v/>
          </cell>
          <cell r="T174" t="str">
            <v/>
          </cell>
          <cell r="U174" t="str">
            <v/>
          </cell>
          <cell r="V174">
            <v>17.940999999999999</v>
          </cell>
          <cell r="W174">
            <v>23.46</v>
          </cell>
          <cell r="X174">
            <v>4.5990000000000002</v>
          </cell>
          <cell r="Y174" t="str">
            <v/>
          </cell>
          <cell r="Z174" t="str">
            <v/>
          </cell>
          <cell r="AA174" t="str">
            <v/>
          </cell>
          <cell r="AB174" t="str">
            <v/>
          </cell>
          <cell r="AC174">
            <v>41.401000000000003</v>
          </cell>
        </row>
        <row r="175">
          <cell r="C175" t="str">
            <v>06P03</v>
          </cell>
          <cell r="D175" t="str">
            <v>6R A/T -- Line 2</v>
          </cell>
          <cell r="E175">
            <v>38565</v>
          </cell>
          <cell r="F175" t="str">
            <v>DLUKAS1</v>
          </cell>
          <cell r="G175" t="str">
            <v xml:space="preserve"> P    T</v>
          </cell>
          <cell r="H175">
            <v>80.671999999999997</v>
          </cell>
          <cell r="I175">
            <v>232.328</v>
          </cell>
          <cell r="J175">
            <v>313</v>
          </cell>
          <cell r="K175">
            <v>7.03</v>
          </cell>
          <cell r="L175">
            <v>19.97</v>
          </cell>
          <cell r="M175">
            <v>27</v>
          </cell>
          <cell r="N175">
            <v>15</v>
          </cell>
          <cell r="O175">
            <v>61</v>
          </cell>
          <cell r="P175">
            <v>416</v>
          </cell>
          <cell r="Q175" t="str">
            <v/>
          </cell>
          <cell r="R175" t="str">
            <v/>
          </cell>
          <cell r="S175" t="str">
            <v/>
          </cell>
          <cell r="T175" t="str">
            <v/>
          </cell>
          <cell r="U175" t="str">
            <v/>
          </cell>
          <cell r="V175">
            <v>54.517000000000003</v>
          </cell>
          <cell r="W175">
            <v>193.155</v>
          </cell>
          <cell r="X175">
            <v>65.328000000000003</v>
          </cell>
          <cell r="Y175" t="str">
            <v/>
          </cell>
          <cell r="Z175" t="str">
            <v/>
          </cell>
          <cell r="AA175" t="str">
            <v/>
          </cell>
          <cell r="AB175" t="str">
            <v/>
          </cell>
          <cell r="AC175">
            <v>247.672</v>
          </cell>
        </row>
        <row r="176">
          <cell r="C176" t="str">
            <v>06P07</v>
          </cell>
          <cell r="D176" t="str">
            <v>New V6 -- Line 3 (CEP)</v>
          </cell>
          <cell r="E176">
            <v>38565</v>
          </cell>
          <cell r="F176" t="str">
            <v>VKRESS</v>
          </cell>
          <cell r="G176" t="str">
            <v xml:space="preserve"> P    T</v>
          </cell>
          <cell r="H176">
            <v>114.629</v>
          </cell>
          <cell r="I176">
            <v>254.17099999999999</v>
          </cell>
          <cell r="J176">
            <v>368.8</v>
          </cell>
          <cell r="K176">
            <v>10.518000000000001</v>
          </cell>
          <cell r="L176">
            <v>24.481999999999999</v>
          </cell>
          <cell r="M176">
            <v>35</v>
          </cell>
          <cell r="N176">
            <v>17</v>
          </cell>
          <cell r="O176">
            <v>43</v>
          </cell>
          <cell r="P176">
            <v>463.8</v>
          </cell>
          <cell r="Q176" t="str">
            <v/>
          </cell>
          <cell r="R176" t="str">
            <v/>
          </cell>
          <cell r="S176" t="str">
            <v/>
          </cell>
          <cell r="T176" t="str">
            <v/>
          </cell>
          <cell r="U176">
            <v>0.54400000000000004</v>
          </cell>
          <cell r="V176">
            <v>146.16499999999999</v>
          </cell>
          <cell r="W176">
            <v>183.6</v>
          </cell>
          <cell r="X176">
            <v>38.491</v>
          </cell>
          <cell r="Y176" t="str">
            <v/>
          </cell>
          <cell r="Z176" t="str">
            <v/>
          </cell>
          <cell r="AA176" t="str">
            <v/>
          </cell>
          <cell r="AB176" t="str">
            <v/>
          </cell>
          <cell r="AC176">
            <v>330.30900000000003</v>
          </cell>
        </row>
        <row r="177">
          <cell r="C177" t="str">
            <v>06P20</v>
          </cell>
          <cell r="D177" t="str">
            <v>4.2L AJ V8 Jade Upgrade</v>
          </cell>
          <cell r="E177">
            <v>38657</v>
          </cell>
          <cell r="F177" t="str">
            <v>DDESCHAM</v>
          </cell>
          <cell r="G177" t="str">
            <v xml:space="preserve"> P    T</v>
          </cell>
          <cell r="H177">
            <v>5.9349999999999996</v>
          </cell>
          <cell r="I177">
            <v>8.5649999999999995</v>
          </cell>
          <cell r="J177">
            <v>14.5</v>
          </cell>
          <cell r="K177">
            <v>0.19800000000000001</v>
          </cell>
          <cell r="L177">
            <v>0.30199999999999999</v>
          </cell>
          <cell r="M177">
            <v>0.5</v>
          </cell>
          <cell r="N177">
            <v>2.5</v>
          </cell>
          <cell r="O177">
            <v>7.5</v>
          </cell>
          <cell r="P177">
            <v>25</v>
          </cell>
          <cell r="Q177" t="str">
            <v/>
          </cell>
          <cell r="R177" t="str">
            <v/>
          </cell>
          <cell r="S177" t="str">
            <v/>
          </cell>
          <cell r="T177" t="str">
            <v/>
          </cell>
          <cell r="U177" t="str">
            <v/>
          </cell>
          <cell r="V177">
            <v>3.581</v>
          </cell>
          <cell r="W177">
            <v>8.077</v>
          </cell>
          <cell r="X177">
            <v>2.6739999999999999</v>
          </cell>
          <cell r="Y177">
            <v>0.16800000000000001</v>
          </cell>
          <cell r="Z177" t="str">
            <v/>
          </cell>
          <cell r="AA177" t="str">
            <v/>
          </cell>
          <cell r="AB177" t="str">
            <v/>
          </cell>
          <cell r="AC177">
            <v>11.657999999999999</v>
          </cell>
        </row>
        <row r="178">
          <cell r="C178" t="str">
            <v>06P25</v>
          </cell>
          <cell r="D178" t="str">
            <v>3.9L V8 AJV for F236</v>
          </cell>
          <cell r="E178">
            <v>38657</v>
          </cell>
          <cell r="F178" t="str">
            <v>DDESCHAM</v>
          </cell>
          <cell r="G178" t="str">
            <v xml:space="preserve"> P    T</v>
          </cell>
          <cell r="H178">
            <v>6.14</v>
          </cell>
          <cell r="I178">
            <v>8.86</v>
          </cell>
          <cell r="J178">
            <v>15</v>
          </cell>
          <cell r="K178">
            <v>0.39600000000000002</v>
          </cell>
          <cell r="L178">
            <v>0.60399999999999998</v>
          </cell>
          <cell r="M178">
            <v>1</v>
          </cell>
          <cell r="N178">
            <v>1.5</v>
          </cell>
          <cell r="O178">
            <v>7.5</v>
          </cell>
          <cell r="P178">
            <v>25</v>
          </cell>
          <cell r="Q178" t="str">
            <v/>
          </cell>
          <cell r="R178" t="str">
            <v/>
          </cell>
          <cell r="S178" t="str">
            <v/>
          </cell>
          <cell r="T178" t="str">
            <v/>
          </cell>
          <cell r="U178" t="str">
            <v/>
          </cell>
          <cell r="V178">
            <v>3.7029999999999998</v>
          </cell>
          <cell r="W178">
            <v>8.3550000000000004</v>
          </cell>
          <cell r="X178">
            <v>2.7669999999999999</v>
          </cell>
          <cell r="Y178">
            <v>0.17499999999999999</v>
          </cell>
          <cell r="Z178" t="str">
            <v/>
          </cell>
          <cell r="AA178" t="str">
            <v/>
          </cell>
          <cell r="AB178" t="str">
            <v/>
          </cell>
          <cell r="AC178">
            <v>12.058</v>
          </cell>
        </row>
        <row r="179">
          <cell r="C179" t="str">
            <v>06P40</v>
          </cell>
          <cell r="D179" t="str">
            <v>3.0L Duratec Upgd for F236</v>
          </cell>
          <cell r="E179">
            <v>38657</v>
          </cell>
          <cell r="F179" t="str">
            <v>MFONTANA</v>
          </cell>
          <cell r="G179" t="str">
            <v xml:space="preserve">      T</v>
          </cell>
          <cell r="H179">
            <v>12.278</v>
          </cell>
          <cell r="I179">
            <v>17.722000000000001</v>
          </cell>
          <cell r="J179">
            <v>30</v>
          </cell>
          <cell r="K179">
            <v>0.79300000000000004</v>
          </cell>
          <cell r="L179">
            <v>1.2070000000000001</v>
          </cell>
          <cell r="M179">
            <v>2</v>
          </cell>
          <cell r="N179">
            <v>3</v>
          </cell>
          <cell r="O179">
            <v>15</v>
          </cell>
          <cell r="P179">
            <v>50</v>
          </cell>
          <cell r="Q179" t="str">
            <v/>
          </cell>
          <cell r="R179" t="str">
            <v/>
          </cell>
          <cell r="S179" t="str">
            <v/>
          </cell>
          <cell r="T179" t="str">
            <v/>
          </cell>
          <cell r="U179" t="str">
            <v/>
          </cell>
          <cell r="V179">
            <v>7.4089999999999998</v>
          </cell>
          <cell r="W179">
            <v>16.71</v>
          </cell>
          <cell r="X179">
            <v>5.5330000000000004</v>
          </cell>
          <cell r="Y179">
            <v>0.34799999999999998</v>
          </cell>
          <cell r="Z179" t="str">
            <v/>
          </cell>
          <cell r="AA179" t="str">
            <v/>
          </cell>
          <cell r="AB179" t="str">
            <v/>
          </cell>
          <cell r="AC179">
            <v>24.119</v>
          </cell>
        </row>
        <row r="180">
          <cell r="C180" t="str">
            <v>06P70</v>
          </cell>
          <cell r="D180" t="str">
            <v>(G) P/T for D258 HPS</v>
          </cell>
          <cell r="E180">
            <v>38596</v>
          </cell>
          <cell r="F180" t="str">
            <v>VKRESS</v>
          </cell>
          <cell r="G180" t="str">
            <v xml:space="preserve"> P    T</v>
          </cell>
          <cell r="H180">
            <v>2.2959999999999998</v>
          </cell>
          <cell r="I180">
            <v>6.6219999999999999</v>
          </cell>
          <cell r="J180">
            <v>8.9179999999999993</v>
          </cell>
          <cell r="K180">
            <v>7.6999999999999999E-2</v>
          </cell>
          <cell r="L180">
            <v>0.20499999999999999</v>
          </cell>
          <cell r="M180">
            <v>0.28199999999999997</v>
          </cell>
          <cell r="N180">
            <v>1.05</v>
          </cell>
          <cell r="O180">
            <v>3.9</v>
          </cell>
          <cell r="P180">
            <v>14.15</v>
          </cell>
          <cell r="Q180" t="str">
            <v/>
          </cell>
          <cell r="R180" t="str">
            <v/>
          </cell>
          <cell r="S180" t="str">
            <v/>
          </cell>
          <cell r="T180" t="str">
            <v/>
          </cell>
          <cell r="U180" t="str">
            <v/>
          </cell>
          <cell r="V180">
            <v>1.2709999999999999</v>
          </cell>
          <cell r="W180">
            <v>5.4809999999999999</v>
          </cell>
          <cell r="X180">
            <v>2.1659999999999999</v>
          </cell>
          <cell r="Y180" t="str">
            <v/>
          </cell>
          <cell r="Z180" t="str">
            <v/>
          </cell>
          <cell r="AA180" t="str">
            <v/>
          </cell>
          <cell r="AB180" t="str">
            <v/>
          </cell>
          <cell r="AC180">
            <v>6.7519999999999998</v>
          </cell>
        </row>
        <row r="181">
          <cell r="C181" t="str">
            <v>07N70</v>
          </cell>
          <cell r="D181" t="str">
            <v>07MY Emissions Reqt's</v>
          </cell>
          <cell r="E181">
            <v>38930</v>
          </cell>
          <cell r="F181" t="str">
            <v>MDILS</v>
          </cell>
          <cell r="G181" t="str">
            <v>RP    T</v>
          </cell>
          <cell r="H181">
            <v>55.31</v>
          </cell>
          <cell r="I181">
            <v>6.1459999999999999</v>
          </cell>
          <cell r="J181">
            <v>61.456000000000003</v>
          </cell>
          <cell r="K181">
            <v>4.8099999999999996</v>
          </cell>
          <cell r="L181">
            <v>0.53400000000000003</v>
          </cell>
          <cell r="M181">
            <v>5.3440000000000003</v>
          </cell>
          <cell r="N181">
            <v>5.34</v>
          </cell>
          <cell r="O181">
            <v>53.44</v>
          </cell>
          <cell r="P181">
            <v>125.58</v>
          </cell>
          <cell r="Q181" t="str">
            <v/>
          </cell>
          <cell r="R181" t="str">
            <v/>
          </cell>
          <cell r="S181" t="str">
            <v/>
          </cell>
          <cell r="T181" t="str">
            <v/>
          </cell>
          <cell r="U181" t="str">
            <v/>
          </cell>
          <cell r="V181" t="str">
            <v/>
          </cell>
          <cell r="W181">
            <v>23.968</v>
          </cell>
          <cell r="X181">
            <v>31.343</v>
          </cell>
          <cell r="Y181">
            <v>6.1449999999999996</v>
          </cell>
          <cell r="Z181" t="str">
            <v/>
          </cell>
          <cell r="AA181" t="str">
            <v/>
          </cell>
          <cell r="AB181" t="str">
            <v/>
          </cell>
          <cell r="AC181">
            <v>23.968</v>
          </cell>
        </row>
        <row r="182">
          <cell r="C182" t="str">
            <v>07P00</v>
          </cell>
          <cell r="D182" t="str">
            <v>P/T-U262 (3.0L Dur V6,CD4E)</v>
          </cell>
          <cell r="E182">
            <v>38930</v>
          </cell>
          <cell r="F182" t="str">
            <v>RDENNIS4</v>
          </cell>
          <cell r="G182" t="str">
            <v xml:space="preserve"> P    T</v>
          </cell>
          <cell r="H182">
            <v>12.128</v>
          </cell>
          <cell r="I182">
            <v>17.562999999999999</v>
          </cell>
          <cell r="J182">
            <v>29.690999999999999</v>
          </cell>
          <cell r="K182">
            <v>0.46500000000000002</v>
          </cell>
          <cell r="L182">
            <v>0.64400000000000002</v>
          </cell>
          <cell r="M182">
            <v>1.109</v>
          </cell>
          <cell r="N182">
            <v>3.5</v>
          </cell>
          <cell r="O182">
            <v>13</v>
          </cell>
          <cell r="P182">
            <v>47.3</v>
          </cell>
          <cell r="Q182" t="str">
            <v/>
          </cell>
          <cell r="R182" t="str">
            <v/>
          </cell>
          <cell r="S182" t="str">
            <v/>
          </cell>
          <cell r="T182" t="str">
            <v/>
          </cell>
          <cell r="U182" t="str">
            <v/>
          </cell>
          <cell r="V182">
            <v>3.5999999999999997E-2</v>
          </cell>
          <cell r="W182">
            <v>11.189</v>
          </cell>
          <cell r="X182">
            <v>15.143000000000001</v>
          </cell>
          <cell r="Y182">
            <v>3.323</v>
          </cell>
          <cell r="Z182" t="str">
            <v/>
          </cell>
          <cell r="AA182" t="str">
            <v/>
          </cell>
          <cell r="AB182" t="str">
            <v/>
          </cell>
          <cell r="AC182">
            <v>11.225</v>
          </cell>
        </row>
        <row r="183">
          <cell r="C183" t="str">
            <v>07P03</v>
          </cell>
          <cell r="D183" t="str">
            <v>6R A/T -- Line 3</v>
          </cell>
          <cell r="E183">
            <v>38930</v>
          </cell>
          <cell r="F183" t="str">
            <v>DLUKAS1</v>
          </cell>
          <cell r="G183" t="str">
            <v xml:space="preserve"> P    T</v>
          </cell>
          <cell r="H183">
            <v>57.475999999999999</v>
          </cell>
          <cell r="I183">
            <v>165.524</v>
          </cell>
          <cell r="J183">
            <v>223</v>
          </cell>
          <cell r="K183">
            <v>4.9470000000000001</v>
          </cell>
          <cell r="L183">
            <v>14.053000000000001</v>
          </cell>
          <cell r="M183">
            <v>19</v>
          </cell>
          <cell r="N183">
            <v>8</v>
          </cell>
          <cell r="O183">
            <v>11</v>
          </cell>
          <cell r="P183">
            <v>261</v>
          </cell>
          <cell r="Q183" t="str">
            <v/>
          </cell>
          <cell r="R183" t="str">
            <v/>
          </cell>
          <cell r="S183" t="str">
            <v/>
          </cell>
          <cell r="T183" t="str">
            <v/>
          </cell>
          <cell r="U183" t="str">
            <v/>
          </cell>
          <cell r="V183" t="str">
            <v/>
          </cell>
          <cell r="W183">
            <v>38.841000000000001</v>
          </cell>
          <cell r="X183">
            <v>137.61500000000001</v>
          </cell>
          <cell r="Y183">
            <v>46.543999999999997</v>
          </cell>
          <cell r="Z183" t="str">
            <v/>
          </cell>
          <cell r="AA183" t="str">
            <v/>
          </cell>
          <cell r="AB183" t="str">
            <v/>
          </cell>
          <cell r="AC183">
            <v>38.841000000000001</v>
          </cell>
        </row>
        <row r="184">
          <cell r="C184" t="str">
            <v>07P04</v>
          </cell>
          <cell r="D184" t="str">
            <v>New V6 -- Lines 4 &amp; 5 (EEP)</v>
          </cell>
          <cell r="E184">
            <v>38930</v>
          </cell>
          <cell r="F184" t="str">
            <v>VKRESS</v>
          </cell>
          <cell r="G184" t="str">
            <v xml:space="preserve"> P    T</v>
          </cell>
          <cell r="H184">
            <v>194.88200000000001</v>
          </cell>
          <cell r="I184">
            <v>432.11799999999999</v>
          </cell>
          <cell r="J184">
            <v>627</v>
          </cell>
          <cell r="K184">
            <v>17.731000000000002</v>
          </cell>
          <cell r="L184">
            <v>41.268999999999998</v>
          </cell>
          <cell r="M184">
            <v>59</v>
          </cell>
          <cell r="N184">
            <v>34</v>
          </cell>
          <cell r="O184">
            <v>71</v>
          </cell>
          <cell r="P184">
            <v>791</v>
          </cell>
          <cell r="Q184" t="str">
            <v/>
          </cell>
          <cell r="R184" t="str">
            <v/>
          </cell>
          <cell r="S184" t="str">
            <v/>
          </cell>
          <cell r="T184" t="str">
            <v/>
          </cell>
          <cell r="U184" t="str">
            <v/>
          </cell>
          <cell r="V184">
            <v>0.92400000000000004</v>
          </cell>
          <cell r="W184">
            <v>248.495</v>
          </cell>
          <cell r="X184">
            <v>312.14100000000002</v>
          </cell>
          <cell r="Y184">
            <v>65.44</v>
          </cell>
          <cell r="Z184" t="str">
            <v/>
          </cell>
          <cell r="AA184" t="str">
            <v/>
          </cell>
          <cell r="AB184" t="str">
            <v/>
          </cell>
          <cell r="AC184">
            <v>249.41900000000001</v>
          </cell>
        </row>
        <row r="185">
          <cell r="C185" t="str">
            <v>07P20</v>
          </cell>
          <cell r="D185" t="str">
            <v>CFT23 for C170</v>
          </cell>
          <cell r="E185">
            <v>38930</v>
          </cell>
          <cell r="F185" t="str">
            <v>DLUKAS1</v>
          </cell>
          <cell r="G185" t="str">
            <v xml:space="preserve"> P    T</v>
          </cell>
          <cell r="H185">
            <v>87.72</v>
          </cell>
          <cell r="I185">
            <v>252.28</v>
          </cell>
          <cell r="J185">
            <v>340</v>
          </cell>
          <cell r="K185">
            <v>7.69</v>
          </cell>
          <cell r="L185">
            <v>22.31</v>
          </cell>
          <cell r="M185">
            <v>30</v>
          </cell>
          <cell r="N185">
            <v>5</v>
          </cell>
          <cell r="O185">
            <v>45</v>
          </cell>
          <cell r="P185">
            <v>420</v>
          </cell>
          <cell r="Q185" t="str">
            <v/>
          </cell>
          <cell r="R185" t="str">
            <v/>
          </cell>
          <cell r="S185" t="str">
            <v/>
          </cell>
          <cell r="T185" t="str">
            <v/>
          </cell>
          <cell r="U185" t="str">
            <v/>
          </cell>
          <cell r="V185" t="str">
            <v/>
          </cell>
          <cell r="W185">
            <v>58.369</v>
          </cell>
          <cell r="X185">
            <v>210.857</v>
          </cell>
          <cell r="Y185">
            <v>70.774000000000001</v>
          </cell>
          <cell r="Z185" t="str">
            <v/>
          </cell>
          <cell r="AA185" t="str">
            <v/>
          </cell>
          <cell r="AB185" t="str">
            <v/>
          </cell>
          <cell r="AC185">
            <v>58.369</v>
          </cell>
        </row>
        <row r="186">
          <cell r="C186" t="str">
            <v>07P60</v>
          </cell>
          <cell r="D186" t="str">
            <v>CFT40 at tbd Ford Facility</v>
          </cell>
          <cell r="E186">
            <v>39114</v>
          </cell>
          <cell r="F186" t="str">
            <v>DLUKAS1</v>
          </cell>
          <cell r="G186" t="str">
            <v xml:space="preserve"> P    T</v>
          </cell>
          <cell r="H186">
            <v>56.579000000000001</v>
          </cell>
          <cell r="I186">
            <v>162.721</v>
          </cell>
          <cell r="J186">
            <v>219.3</v>
          </cell>
          <cell r="K186">
            <v>4.87</v>
          </cell>
          <cell r="L186">
            <v>14.13</v>
          </cell>
          <cell r="M186">
            <v>19</v>
          </cell>
          <cell r="N186">
            <v>25</v>
          </cell>
          <cell r="O186">
            <v>86</v>
          </cell>
          <cell r="P186">
            <v>349.3</v>
          </cell>
          <cell r="Q186" t="str">
            <v/>
          </cell>
          <cell r="R186" t="str">
            <v/>
          </cell>
          <cell r="S186" t="str">
            <v/>
          </cell>
          <cell r="T186" t="str">
            <v/>
          </cell>
          <cell r="U186" t="str">
            <v/>
          </cell>
          <cell r="V186" t="str">
            <v/>
          </cell>
          <cell r="W186">
            <v>10.135999999999999</v>
          </cell>
          <cell r="X186">
            <v>108.486</v>
          </cell>
          <cell r="Y186">
            <v>84.122</v>
          </cell>
          <cell r="Z186">
            <v>16.556000000000001</v>
          </cell>
          <cell r="AA186" t="str">
            <v/>
          </cell>
          <cell r="AB186" t="str">
            <v/>
          </cell>
          <cell r="AC186">
            <v>10.135999999999999</v>
          </cell>
        </row>
        <row r="187">
          <cell r="C187" t="str">
            <v>08N70</v>
          </cell>
          <cell r="D187" t="str">
            <v>08MY Emissions Reqt's</v>
          </cell>
          <cell r="E187">
            <v>39295</v>
          </cell>
          <cell r="F187" t="str">
            <v>MDILS</v>
          </cell>
          <cell r="G187" t="str">
            <v>RP    T</v>
          </cell>
          <cell r="H187">
            <v>117.57599999999999</v>
          </cell>
          <cell r="I187">
            <v>13.064</v>
          </cell>
          <cell r="J187">
            <v>130.63999999999999</v>
          </cell>
          <cell r="K187">
            <v>10.224</v>
          </cell>
          <cell r="L187">
            <v>1.1359999999999999</v>
          </cell>
          <cell r="M187">
            <v>11.36</v>
          </cell>
          <cell r="N187">
            <v>11.36</v>
          </cell>
          <cell r="O187">
            <v>113.6</v>
          </cell>
          <cell r="P187">
            <v>266.95999999999998</v>
          </cell>
          <cell r="Q187" t="str">
            <v/>
          </cell>
          <cell r="R187" t="str">
            <v/>
          </cell>
          <cell r="S187" t="str">
            <v/>
          </cell>
          <cell r="T187" t="str">
            <v/>
          </cell>
          <cell r="U187" t="str">
            <v/>
          </cell>
          <cell r="V187" t="str">
            <v/>
          </cell>
          <cell r="W187" t="str">
            <v/>
          </cell>
          <cell r="X187">
            <v>50.95</v>
          </cell>
          <cell r="Y187">
            <v>66.626000000000005</v>
          </cell>
          <cell r="Z187">
            <v>13.064</v>
          </cell>
          <cell r="AA187" t="str">
            <v/>
          </cell>
          <cell r="AB187" t="str">
            <v/>
          </cell>
          <cell r="AC187" t="str">
            <v/>
          </cell>
        </row>
        <row r="188">
          <cell r="C188" t="str">
            <v>08P50</v>
          </cell>
          <cell r="D188" t="str">
            <v>DI FE Bundle-MAV</v>
          </cell>
          <cell r="E188">
            <v>39295</v>
          </cell>
          <cell r="F188" t="str">
            <v>RDENNIS4</v>
          </cell>
          <cell r="G188" t="str">
            <v xml:space="preserve"> P    T</v>
          </cell>
          <cell r="H188">
            <v>36.223999999999997</v>
          </cell>
          <cell r="I188">
            <v>52.463999999999999</v>
          </cell>
          <cell r="J188">
            <v>88.688000000000002</v>
          </cell>
          <cell r="K188">
            <v>1.39</v>
          </cell>
          <cell r="L188">
            <v>1.9219999999999999</v>
          </cell>
          <cell r="M188">
            <v>3.3119999999999998</v>
          </cell>
          <cell r="N188">
            <v>10</v>
          </cell>
          <cell r="O188">
            <v>55</v>
          </cell>
          <cell r="P188">
            <v>157</v>
          </cell>
          <cell r="Q188" t="str">
            <v/>
          </cell>
          <cell r="R188" t="str">
            <v/>
          </cell>
          <cell r="S188" t="str">
            <v/>
          </cell>
          <cell r="T188" t="str">
            <v/>
          </cell>
          <cell r="U188" t="str">
            <v/>
          </cell>
          <cell r="V188" t="str">
            <v/>
          </cell>
          <cell r="W188">
            <v>0.106</v>
          </cell>
          <cell r="X188">
            <v>33.423999999999999</v>
          </cell>
          <cell r="Y188">
            <v>45.234000000000002</v>
          </cell>
          <cell r="Z188">
            <v>9.9239999999999995</v>
          </cell>
          <cell r="AA188" t="str">
            <v/>
          </cell>
          <cell r="AB188" t="str">
            <v/>
          </cell>
          <cell r="AC188">
            <v>0.106</v>
          </cell>
        </row>
        <row r="189">
          <cell r="C189" t="str">
            <v>AAO57</v>
          </cell>
          <cell r="D189" t="str">
            <v>Batavia JV Investment Adjt</v>
          </cell>
          <cell r="E189">
            <v>36526</v>
          </cell>
          <cell r="F189" t="str">
            <v>RDENNIS4</v>
          </cell>
          <cell r="G189" t="str">
            <v xml:space="preserve">   S  T</v>
          </cell>
          <cell r="H189" t="str">
            <v/>
          </cell>
          <cell r="I189">
            <v>0.01</v>
          </cell>
          <cell r="J189">
            <v>0.01</v>
          </cell>
          <cell r="K189">
            <v>0</v>
          </cell>
          <cell r="L189">
            <v>0</v>
          </cell>
          <cell r="M189">
            <v>0</v>
          </cell>
          <cell r="N189" t="str">
            <v/>
          </cell>
          <cell r="O189" t="str">
            <v/>
          </cell>
          <cell r="P189">
            <v>0.01</v>
          </cell>
          <cell r="Q189">
            <v>0</v>
          </cell>
          <cell r="R189">
            <v>0.01</v>
          </cell>
          <cell r="S189" t="str">
            <v/>
          </cell>
          <cell r="T189" t="str">
            <v/>
          </cell>
          <cell r="U189" t="str">
            <v/>
          </cell>
          <cell r="V189" t="str">
            <v/>
          </cell>
          <cell r="W189" t="str">
            <v/>
          </cell>
          <cell r="X189" t="str">
            <v/>
          </cell>
          <cell r="Y189" t="str">
            <v/>
          </cell>
          <cell r="Z189" t="str">
            <v/>
          </cell>
          <cell r="AA189" t="str">
            <v/>
          </cell>
          <cell r="AB189" t="str">
            <v/>
          </cell>
          <cell r="AC189">
            <v>0.01</v>
          </cell>
        </row>
      </sheetData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6totcstsum"/>
      <sheetName val="COVER"/>
      <sheetName val="execsum"/>
      <sheetName val="96totcstgraph"/>
    </sheetNames>
    <sheetDataSet>
      <sheetData sheetId="0"/>
      <sheetData sheetId="1"/>
      <sheetData sheetId="2"/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CHOIM.XLS"/>
      <sheetName val="TACHOUM.XLS"/>
      <sheetName val="P22xx (5 ZIT Sedan)"/>
      <sheetName val="STICKER P23xx"/>
      <sheetName val="Logboek"/>
      <sheetName val="S32xx (5 ZIT Sedan)"/>
      <sheetName val="GEEL 55KM"/>
      <sheetName val="EW5S5772"/>
    </sheetNames>
    <definedNames>
      <definedName name="Print_VC3_Only" refersTo="#REF!"/>
      <definedName name="Print_VC4_Only" refersTo="#REF!"/>
      <definedName name="Print_VC5_Only" refersTo="#REF!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Inventory"/>
      <sheetName val="New PINS"/>
      <sheetName val="Percentage Allocation"/>
      <sheetName val="Dollar Allocation "/>
      <sheetName val="Default"/>
      <sheetName val="2001"/>
      <sheetName val="2002"/>
      <sheetName val="2003"/>
      <sheetName val="2004"/>
      <sheetName val="2005"/>
      <sheetName val="2006"/>
      <sheetName val="Control"/>
      <sheetName val="Module1"/>
      <sheetName val="Module3"/>
      <sheetName val="PercentageAllocation"/>
      <sheetName val="Input"/>
      <sheetName val="Data"/>
      <sheetName val="CBG Look - 6+6"/>
      <sheetName val="SEPT"/>
      <sheetName val="LM 650b"/>
      <sheetName val="segmenti"/>
      <sheetName val="New_PINS"/>
      <sheetName val="Percentage_Allocation"/>
      <sheetName val="Dollar_Allocation_"/>
      <sheetName val="New_PINS1"/>
      <sheetName val="Percentage_Allocation1"/>
      <sheetName val="Dollar_Allocation_1"/>
      <sheetName val="New_PINS2"/>
      <sheetName val="Percentage_Allocation2"/>
      <sheetName val="Dollar_Allocation_2"/>
      <sheetName val="pfx_prov"/>
      <sheetName val="Exchange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  <sheetData sheetId="3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6isstoiss"/>
      <sheetName val="COVER"/>
      <sheetName val="Ave_Trans_Abs"/>
      <sheetName val="Ave_Trans_Red"/>
      <sheetName val="Det_Var_Abs"/>
      <sheetName val="Det_Var_Red"/>
      <sheetName val="kc"/>
      <sheetName val="Percentage Allocation"/>
      <sheetName val="価格一覧表"/>
      <sheetName val="Reduzierter CBD"/>
    </sheetNames>
    <sheetDataSet>
      <sheetData sheetId="0" refreshError="1">
        <row r="98">
          <cell r="C98">
            <v>288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M 650a"/>
      <sheetName val="LM 650b"/>
      <sheetName val="LM Exec Sum 650b"/>
      <sheetName val="LM Mgmt Sum 650b"/>
      <sheetName val="LM Mgmt Sum 650a"/>
      <sheetName val="LM Mgmt Sum 650b B(W)"/>
      <sheetName val="LM Mgmt Sum 650a Classic"/>
      <sheetName val="LM Mgmt Sum 650b B(W) II"/>
      <sheetName val="Module1"/>
      <sheetName val="Module2"/>
      <sheetName val="Module3"/>
      <sheetName val="Module4"/>
      <sheetName val="Module5"/>
      <sheetName val="Module6"/>
      <sheetName val="Module7"/>
      <sheetName val="Module8"/>
      <sheetName val="Module9"/>
      <sheetName val="Module10"/>
      <sheetName val="LM650b"/>
      <sheetName val="NA"/>
      <sheetName val="LM 650b Mgmt Detail"/>
      <sheetName val="96isstoiss"/>
      <sheetName val="Constants"/>
      <sheetName val="Cal"/>
      <sheetName val="Allocation"/>
      <sheetName val="#REF"/>
      <sheetName val="Map"/>
      <sheetName val="VL PBT"/>
      <sheetName val="Rev"/>
      <sheetName val="Volumes"/>
      <sheetName val="LM_650a"/>
      <sheetName val="LM_650b"/>
      <sheetName val="LM_Exec_Sum_650b"/>
      <sheetName val="LM_Mgmt_Sum_650b"/>
      <sheetName val="LM_Mgmt_Sum_650a"/>
      <sheetName val="LM_Mgmt_Sum_650b_B(W)"/>
      <sheetName val="LM_Mgmt_Sum_650a_Classic"/>
      <sheetName val="LM_Mgmt_Sum_650b_B(W)_II"/>
      <sheetName val="LM_650b_Mgmt_Detail"/>
      <sheetName val="LM_650a1"/>
      <sheetName val="LM_650b1"/>
      <sheetName val="LM_Exec_Sum_650b1"/>
      <sheetName val="LM_Mgmt_Sum_650b1"/>
      <sheetName val="LM_Mgmt_Sum_650a1"/>
      <sheetName val="LM_Mgmt_Sum_650b_B(W)1"/>
      <sheetName val="LM_Mgmt_Sum_650a_Classic1"/>
      <sheetName val="LM_Mgmt_Sum_650b_B(W)_II1"/>
      <sheetName val="LM_650b_Mgmt_Detail1"/>
      <sheetName val="LM_650a2"/>
      <sheetName val="LM_650b2"/>
      <sheetName val="LM_Exec_Sum_650b2"/>
      <sheetName val="LM_Mgmt_Sum_650b2"/>
      <sheetName val="LM_Mgmt_Sum_650a2"/>
      <sheetName val="LM_Mgmt_Sum_650b_B(W)2"/>
      <sheetName val="LM_Mgmt_Sum_650a_Classic2"/>
      <sheetName val="LM_Mgmt_Sum_650b_B(W)_II2"/>
      <sheetName val="LM_650b_Mgmt_Detail2"/>
      <sheetName val="Mercati&gt;6"/>
    </sheetNames>
    <sheetDataSet>
      <sheetData sheetId="0"/>
      <sheetData sheetId="1" refreshError="1">
        <row r="1">
          <cell r="D1" t="str">
            <v>Mgmt Sort</v>
          </cell>
          <cell r="E1" t="str">
            <v>Job#1</v>
          </cell>
        </row>
        <row r="2">
          <cell r="D2" t="str">
            <v>Cost Reduction/PVT Programs</v>
          </cell>
          <cell r="E2">
            <v>37073</v>
          </cell>
        </row>
        <row r="3">
          <cell r="D3" t="str">
            <v>Cost Reduction/PVT Programs</v>
          </cell>
          <cell r="E3">
            <v>37438</v>
          </cell>
        </row>
        <row r="4">
          <cell r="D4" t="str">
            <v>Quality &amp; Warranty</v>
          </cell>
          <cell r="E4">
            <v>37104</v>
          </cell>
        </row>
        <row r="5">
          <cell r="D5" t="str">
            <v>All Other Lincoln Vehicle Programs</v>
          </cell>
          <cell r="E5">
            <v>37469</v>
          </cell>
        </row>
        <row r="6">
          <cell r="D6" t="str">
            <v>All Other Mercury Vehicle Programs</v>
          </cell>
          <cell r="E6">
            <v>37834</v>
          </cell>
        </row>
        <row r="7">
          <cell r="D7" t="str">
            <v>Quality &amp; Warranty</v>
          </cell>
          <cell r="E7">
            <v>37469</v>
          </cell>
        </row>
        <row r="8">
          <cell r="D8" t="str">
            <v>Quality &amp; Warranty</v>
          </cell>
          <cell r="E8">
            <v>37834</v>
          </cell>
        </row>
        <row r="9">
          <cell r="D9" t="str">
            <v>2007 U263</v>
          </cell>
          <cell r="E9">
            <v>38930</v>
          </cell>
        </row>
        <row r="10">
          <cell r="D10" t="str">
            <v>All Other Mercury Vehicle Programs</v>
          </cell>
          <cell r="E10">
            <v>39295</v>
          </cell>
        </row>
        <row r="11">
          <cell r="D11" t="str">
            <v>All Other Lincoln Vehicle Programs</v>
          </cell>
          <cell r="E11">
            <v>39295</v>
          </cell>
        </row>
        <row r="12">
          <cell r="D12" t="str">
            <v>All Other Mercury Vehicle Programs</v>
          </cell>
          <cell r="E12">
            <v>39845</v>
          </cell>
        </row>
        <row r="13">
          <cell r="D13" t="str">
            <v>All Other Mercury Vehicle Programs</v>
          </cell>
          <cell r="E13">
            <v>39662</v>
          </cell>
        </row>
        <row r="14">
          <cell r="D14" t="str">
            <v>All Other Mercury Vehicle Programs</v>
          </cell>
          <cell r="E14">
            <v>40756</v>
          </cell>
        </row>
        <row r="15">
          <cell r="D15" t="str">
            <v>St. Thomas Paint Upgrade</v>
          </cell>
          <cell r="E15">
            <v>37288</v>
          </cell>
        </row>
        <row r="16">
          <cell r="D16" t="str">
            <v>Spirit of Ford Provision</v>
          </cell>
          <cell r="E16">
            <v>37469</v>
          </cell>
        </row>
        <row r="17">
          <cell r="D17" t="str">
            <v>Spirit of Ford Provision</v>
          </cell>
          <cell r="E17">
            <v>37469</v>
          </cell>
        </row>
        <row r="18">
          <cell r="D18" t="str">
            <v>Spirit of Ford Provision</v>
          </cell>
          <cell r="E18">
            <v>37834</v>
          </cell>
        </row>
        <row r="19">
          <cell r="D19" t="str">
            <v>Spirit of Ford Provision</v>
          </cell>
          <cell r="E19">
            <v>37834</v>
          </cell>
        </row>
        <row r="20">
          <cell r="D20" t="str">
            <v>Quality &amp; Warranty</v>
          </cell>
          <cell r="E20">
            <v>37469</v>
          </cell>
        </row>
        <row r="21">
          <cell r="D21" t="str">
            <v>Quality &amp; Warranty</v>
          </cell>
          <cell r="E21">
            <v>37834</v>
          </cell>
        </row>
        <row r="22">
          <cell r="D22" t="str">
            <v>Quality &amp; Warranty</v>
          </cell>
          <cell r="E22">
            <v>38200</v>
          </cell>
        </row>
        <row r="23">
          <cell r="D23" t="str">
            <v>Quality &amp; Warranty</v>
          </cell>
          <cell r="E23">
            <v>38565</v>
          </cell>
        </row>
        <row r="24">
          <cell r="D24" t="str">
            <v>Powertrain Customer Satisfaction Program</v>
          </cell>
          <cell r="E24">
            <v>37438</v>
          </cell>
        </row>
        <row r="25">
          <cell r="D25" t="str">
            <v>Powertrain Customer Satisfaction Program</v>
          </cell>
          <cell r="E25">
            <v>37104</v>
          </cell>
        </row>
        <row r="26">
          <cell r="D26" t="str">
            <v>Powertrain Customer Satisfaction Program</v>
          </cell>
          <cell r="E26">
            <v>37073</v>
          </cell>
        </row>
        <row r="27">
          <cell r="D27" t="str">
            <v>Powertrain Customer Satisfaction Program</v>
          </cell>
          <cell r="E27">
            <v>37438</v>
          </cell>
        </row>
        <row r="28">
          <cell r="D28" t="str">
            <v>Powertrain Customer Satisfaction Program</v>
          </cell>
          <cell r="E28">
            <v>37469</v>
          </cell>
        </row>
        <row r="29">
          <cell r="D29" t="str">
            <v>Powertrain Customer Satisfaction Program</v>
          </cell>
          <cell r="E29">
            <v>37469</v>
          </cell>
        </row>
        <row r="30">
          <cell r="D30" t="str">
            <v>Powertrain Customer Satisfaction Program</v>
          </cell>
          <cell r="E30">
            <v>37438</v>
          </cell>
        </row>
        <row r="31">
          <cell r="D31" t="str">
            <v>Powertrain Customer Satisfaction Program</v>
          </cell>
          <cell r="E31">
            <v>38169</v>
          </cell>
        </row>
        <row r="32">
          <cell r="D32" t="str">
            <v>Powertrain Customer Satisfaction Program</v>
          </cell>
          <cell r="E32">
            <v>37803</v>
          </cell>
        </row>
        <row r="33">
          <cell r="D33" t="str">
            <v>Other Powertrain Quality &amp; Cost Reductions</v>
          </cell>
          <cell r="E33">
            <v>35278</v>
          </cell>
        </row>
        <row r="34">
          <cell r="D34" t="str">
            <v>Other Powertrain Quality &amp; Cost Reductions</v>
          </cell>
          <cell r="E34">
            <v>35278</v>
          </cell>
        </row>
        <row r="35">
          <cell r="D35" t="str">
            <v>Other Powertrain Quality &amp; Cost Reductions</v>
          </cell>
          <cell r="E35">
            <v>35643</v>
          </cell>
        </row>
        <row r="36">
          <cell r="D36" t="str">
            <v>Other Powertrain Quality &amp; Cost Reductions</v>
          </cell>
          <cell r="E36">
            <v>35643</v>
          </cell>
        </row>
        <row r="37">
          <cell r="D37" t="str">
            <v>Other Powertrain Quality &amp; Cost Reductions</v>
          </cell>
          <cell r="E37">
            <v>36342</v>
          </cell>
        </row>
        <row r="38">
          <cell r="D38" t="str">
            <v>Other Powertrain Quality &amp; Cost Reductions</v>
          </cell>
          <cell r="E38">
            <v>36708</v>
          </cell>
        </row>
        <row r="39">
          <cell r="D39" t="str">
            <v>Other Powertrain Quality &amp; Cost Reductions</v>
          </cell>
          <cell r="E39">
            <v>37073</v>
          </cell>
        </row>
        <row r="40">
          <cell r="D40" t="str">
            <v>Other Powertrain Quality &amp; Cost Reductions</v>
          </cell>
          <cell r="E40">
            <v>37104</v>
          </cell>
        </row>
        <row r="41">
          <cell r="D41" t="str">
            <v>Other Powertrain Quality &amp; Cost Reductions</v>
          </cell>
          <cell r="E41">
            <v>37104</v>
          </cell>
        </row>
        <row r="42">
          <cell r="D42" t="str">
            <v>New V6</v>
          </cell>
          <cell r="E42">
            <v>38200</v>
          </cell>
        </row>
        <row r="43">
          <cell r="D43" t="str">
            <v>New V6</v>
          </cell>
          <cell r="E43">
            <v>38384</v>
          </cell>
        </row>
        <row r="44">
          <cell r="D44" t="str">
            <v>Fuel Economy</v>
          </cell>
          <cell r="E44">
            <v>35646</v>
          </cell>
        </row>
        <row r="45">
          <cell r="D45" t="str">
            <v>Fuel Economy</v>
          </cell>
          <cell r="E45">
            <v>36008</v>
          </cell>
        </row>
        <row r="46">
          <cell r="D46" t="str">
            <v>Fuel Economy</v>
          </cell>
          <cell r="E46">
            <v>37288</v>
          </cell>
        </row>
        <row r="47">
          <cell r="D47" t="str">
            <v>Fuel Economy</v>
          </cell>
          <cell r="E47">
            <v>37104</v>
          </cell>
        </row>
        <row r="48">
          <cell r="D48" t="str">
            <v>Fuel Economy</v>
          </cell>
          <cell r="E48">
            <v>37104</v>
          </cell>
        </row>
        <row r="49">
          <cell r="D49" t="str">
            <v>Fuel Economy</v>
          </cell>
          <cell r="E49">
            <v>37469</v>
          </cell>
        </row>
        <row r="50">
          <cell r="D50" t="str">
            <v>Fuel Economy</v>
          </cell>
          <cell r="E50">
            <v>37834</v>
          </cell>
        </row>
        <row r="51">
          <cell r="D51" t="str">
            <v>Fuel Economy</v>
          </cell>
          <cell r="E51">
            <v>38200</v>
          </cell>
        </row>
        <row r="52">
          <cell r="D52" t="str">
            <v>Emissions</v>
          </cell>
          <cell r="E52">
            <v>34912</v>
          </cell>
        </row>
        <row r="53">
          <cell r="D53" t="str">
            <v>Emissions</v>
          </cell>
          <cell r="E53">
            <v>36304</v>
          </cell>
        </row>
        <row r="54">
          <cell r="D54" t="str">
            <v>Emissions</v>
          </cell>
          <cell r="E54">
            <v>36342</v>
          </cell>
        </row>
        <row r="55">
          <cell r="D55" t="str">
            <v>Emissions</v>
          </cell>
          <cell r="E55">
            <v>36395</v>
          </cell>
        </row>
        <row r="56">
          <cell r="D56" t="str">
            <v>Emissions</v>
          </cell>
          <cell r="E56">
            <v>36373</v>
          </cell>
        </row>
        <row r="57">
          <cell r="D57" t="str">
            <v>Emissions</v>
          </cell>
          <cell r="E57">
            <v>36739</v>
          </cell>
        </row>
        <row r="58">
          <cell r="D58" t="str">
            <v>Emissions</v>
          </cell>
          <cell r="E58">
            <v>37180</v>
          </cell>
        </row>
        <row r="59">
          <cell r="D59" t="str">
            <v>Emissions</v>
          </cell>
          <cell r="E59">
            <v>37469</v>
          </cell>
        </row>
        <row r="60">
          <cell r="D60" t="str">
            <v>Emissions</v>
          </cell>
          <cell r="E60">
            <v>37135</v>
          </cell>
        </row>
        <row r="61">
          <cell r="D61" t="str">
            <v>Emissions</v>
          </cell>
          <cell r="E61">
            <v>37087</v>
          </cell>
        </row>
        <row r="62">
          <cell r="D62" t="str">
            <v>Emissions</v>
          </cell>
          <cell r="E62">
            <v>37469</v>
          </cell>
        </row>
        <row r="63">
          <cell r="D63" t="str">
            <v>Emissions</v>
          </cell>
          <cell r="E63">
            <v>37834</v>
          </cell>
        </row>
        <row r="64">
          <cell r="D64" t="str">
            <v>Emissions</v>
          </cell>
          <cell r="E64">
            <v>38200</v>
          </cell>
        </row>
        <row r="65">
          <cell r="D65" t="str">
            <v>Emissions</v>
          </cell>
          <cell r="E65">
            <v>38930</v>
          </cell>
        </row>
        <row r="66">
          <cell r="D66" t="str">
            <v>Emissions</v>
          </cell>
          <cell r="E66">
            <v>39295</v>
          </cell>
        </row>
        <row r="67">
          <cell r="D67" t="str">
            <v>Duratec V6</v>
          </cell>
          <cell r="E67">
            <v>36239</v>
          </cell>
        </row>
        <row r="68">
          <cell r="D68" t="str">
            <v>Duratec V6</v>
          </cell>
          <cell r="E68">
            <v>36739</v>
          </cell>
        </row>
        <row r="69">
          <cell r="D69" t="str">
            <v>Duratec V6</v>
          </cell>
          <cell r="E69">
            <v>37104</v>
          </cell>
        </row>
        <row r="70">
          <cell r="D70" t="str">
            <v>Duratec V6</v>
          </cell>
          <cell r="E70">
            <v>37104</v>
          </cell>
        </row>
        <row r="71">
          <cell r="D71" t="str">
            <v>Duratec V6</v>
          </cell>
          <cell r="E71">
            <v>38200</v>
          </cell>
        </row>
        <row r="72">
          <cell r="D72" t="str">
            <v>Duratec V6</v>
          </cell>
          <cell r="E72">
            <v>38749</v>
          </cell>
        </row>
        <row r="73">
          <cell r="D73" t="str">
            <v>Cross Vehicle Line Programs</v>
          </cell>
          <cell r="E73">
            <v>34912</v>
          </cell>
        </row>
        <row r="74">
          <cell r="D74" t="str">
            <v>Cross Vehicle Line Programs</v>
          </cell>
          <cell r="E74">
            <v>35278</v>
          </cell>
        </row>
        <row r="75">
          <cell r="D75" t="str">
            <v>Cross Vehicle Line Programs</v>
          </cell>
          <cell r="E75">
            <v>35643</v>
          </cell>
        </row>
        <row r="76">
          <cell r="D76" t="str">
            <v>Cross Vehicle Line Programs</v>
          </cell>
          <cell r="E76">
            <v>35643</v>
          </cell>
        </row>
        <row r="77">
          <cell r="D77" t="str">
            <v>Cross Vehicle Line Programs</v>
          </cell>
          <cell r="E77">
            <v>35643</v>
          </cell>
        </row>
        <row r="78">
          <cell r="D78" t="str">
            <v>Cross Vehicle Line Programs</v>
          </cell>
          <cell r="E78">
            <v>36342</v>
          </cell>
        </row>
        <row r="79">
          <cell r="D79" t="str">
            <v>Cross Vehicle Line Programs</v>
          </cell>
          <cell r="E79">
            <v>36008</v>
          </cell>
        </row>
        <row r="80">
          <cell r="D80" t="str">
            <v>Cross Vehicle Line Programs</v>
          </cell>
          <cell r="E80">
            <v>36342</v>
          </cell>
        </row>
        <row r="81">
          <cell r="D81" t="str">
            <v>Cross Vehicle Line Programs</v>
          </cell>
          <cell r="E81">
            <v>36708</v>
          </cell>
        </row>
        <row r="82">
          <cell r="D82" t="str">
            <v>Cross Vehicle Line Programs</v>
          </cell>
          <cell r="E82">
            <v>36373</v>
          </cell>
        </row>
        <row r="83">
          <cell r="D83" t="str">
            <v>Cross Vehicle Line Programs</v>
          </cell>
          <cell r="E83">
            <v>36708</v>
          </cell>
        </row>
        <row r="84">
          <cell r="D84" t="str">
            <v>Cross Vehicle Line Programs</v>
          </cell>
          <cell r="E84">
            <v>36495</v>
          </cell>
        </row>
        <row r="85">
          <cell r="D85" t="str">
            <v>Cross Vehicle Line Programs</v>
          </cell>
          <cell r="E85">
            <v>37073</v>
          </cell>
        </row>
        <row r="86">
          <cell r="D86" t="str">
            <v>Cross Vehicle Line Programs</v>
          </cell>
          <cell r="E86">
            <v>37073</v>
          </cell>
        </row>
        <row r="87">
          <cell r="D87" t="str">
            <v>Cross Vehicle Line Programs</v>
          </cell>
          <cell r="E87">
            <v>36739</v>
          </cell>
        </row>
        <row r="88">
          <cell r="D88" t="str">
            <v>Cross Vehicle Line Programs</v>
          </cell>
          <cell r="E88">
            <v>36739</v>
          </cell>
        </row>
        <row r="89">
          <cell r="D89" t="str">
            <v>Cross Vehicle Line Programs</v>
          </cell>
          <cell r="E89">
            <v>37438</v>
          </cell>
        </row>
        <row r="90">
          <cell r="D90" t="str">
            <v>Cross Vehicle Line Programs</v>
          </cell>
          <cell r="E90">
            <v>37288</v>
          </cell>
        </row>
        <row r="91">
          <cell r="D91" t="str">
            <v>Cost Reduction/PVT Programs</v>
          </cell>
          <cell r="E91">
            <v>35278</v>
          </cell>
        </row>
        <row r="92">
          <cell r="D92" t="str">
            <v>Cost Reduction/PVT Programs</v>
          </cell>
          <cell r="E92">
            <v>35282</v>
          </cell>
        </row>
        <row r="93">
          <cell r="D93" t="str">
            <v>Cost Reduction/PVT Programs</v>
          </cell>
          <cell r="E93">
            <v>35674</v>
          </cell>
        </row>
        <row r="94">
          <cell r="D94" t="str">
            <v>Cost Reduction/PVT Programs</v>
          </cell>
          <cell r="E94">
            <v>35643</v>
          </cell>
        </row>
        <row r="95">
          <cell r="D95" t="str">
            <v>Cost Reduction/PVT Programs</v>
          </cell>
          <cell r="E95">
            <v>35643</v>
          </cell>
        </row>
        <row r="96">
          <cell r="D96" t="str">
            <v>Cost Reduction/PVT Programs</v>
          </cell>
          <cell r="E96">
            <v>35643</v>
          </cell>
        </row>
        <row r="97">
          <cell r="D97" t="str">
            <v>Cost Reduction/PVT Programs</v>
          </cell>
          <cell r="E97">
            <v>36342</v>
          </cell>
        </row>
        <row r="98">
          <cell r="D98" t="str">
            <v>Cost Reduction/PVT Programs</v>
          </cell>
          <cell r="E98">
            <v>36008</v>
          </cell>
        </row>
        <row r="99">
          <cell r="D99" t="str">
            <v>Cost Reduction/PVT Programs</v>
          </cell>
          <cell r="E99">
            <v>36342</v>
          </cell>
        </row>
        <row r="100">
          <cell r="D100" t="str">
            <v>Cost Reduction/PVT Programs</v>
          </cell>
          <cell r="E100">
            <v>35984</v>
          </cell>
        </row>
        <row r="101">
          <cell r="D101" t="str">
            <v>Cost Reduction/PVT Programs</v>
          </cell>
          <cell r="E101">
            <v>36342</v>
          </cell>
        </row>
        <row r="102">
          <cell r="D102" t="str">
            <v>Cost Reduction/PVT Programs</v>
          </cell>
          <cell r="E102">
            <v>36708</v>
          </cell>
        </row>
        <row r="103">
          <cell r="D103" t="str">
            <v>Cost Reduction/PVT Programs</v>
          </cell>
          <cell r="E103">
            <v>36708</v>
          </cell>
        </row>
        <row r="104">
          <cell r="D104" t="str">
            <v>Cost Reduction/PVT Programs</v>
          </cell>
          <cell r="E104">
            <v>36708</v>
          </cell>
        </row>
        <row r="105">
          <cell r="D105" t="str">
            <v>Cost Reduction/PVT Programs</v>
          </cell>
          <cell r="E105">
            <v>36708</v>
          </cell>
        </row>
        <row r="106">
          <cell r="D106" t="str">
            <v>Cost Reduction/PVT Programs</v>
          </cell>
          <cell r="E106">
            <v>36708</v>
          </cell>
        </row>
        <row r="107">
          <cell r="D107" t="str">
            <v>Cost Reduction/PVT Programs</v>
          </cell>
          <cell r="E107">
            <v>37073</v>
          </cell>
        </row>
        <row r="108">
          <cell r="D108" t="str">
            <v>Cost Reduction/PVT Programs</v>
          </cell>
          <cell r="E108">
            <v>37073</v>
          </cell>
        </row>
        <row r="109">
          <cell r="D109" t="str">
            <v>Cost Reduction/PVT Programs</v>
          </cell>
          <cell r="E109">
            <v>37073</v>
          </cell>
        </row>
        <row r="110">
          <cell r="D110" t="str">
            <v>Cost Reduction/PVT Programs</v>
          </cell>
          <cell r="E110">
            <v>37226</v>
          </cell>
        </row>
        <row r="111">
          <cell r="D111" t="str">
            <v>Cost Reduction/PVT Programs</v>
          </cell>
          <cell r="E111">
            <v>37073</v>
          </cell>
        </row>
        <row r="112">
          <cell r="D112" t="str">
            <v>Cost Reduction/PVT Programs</v>
          </cell>
          <cell r="E112">
            <v>37073</v>
          </cell>
        </row>
        <row r="113">
          <cell r="D113" t="str">
            <v>Cost Reduction/PVT Programs</v>
          </cell>
          <cell r="E113">
            <v>37073</v>
          </cell>
        </row>
        <row r="114">
          <cell r="D114" t="str">
            <v>Cost Reduction/PVT Programs</v>
          </cell>
          <cell r="E114">
            <v>37073</v>
          </cell>
        </row>
        <row r="115">
          <cell r="D115" t="str">
            <v>Cost Reduction/PVT Programs</v>
          </cell>
          <cell r="E115">
            <v>37073</v>
          </cell>
        </row>
        <row r="116">
          <cell r="D116" t="str">
            <v>Cost Reduction/PVT Programs</v>
          </cell>
          <cell r="E116">
            <v>37073</v>
          </cell>
        </row>
        <row r="117">
          <cell r="D117" t="str">
            <v>Cost Reduction/PVT Programs</v>
          </cell>
          <cell r="E117">
            <v>37073</v>
          </cell>
        </row>
        <row r="118">
          <cell r="D118" t="str">
            <v>Cost Reduction/PVT Programs</v>
          </cell>
          <cell r="E118">
            <v>37073</v>
          </cell>
        </row>
        <row r="119">
          <cell r="D119" t="str">
            <v>Cost Reduction/PVT Programs</v>
          </cell>
          <cell r="E119">
            <v>37073</v>
          </cell>
        </row>
        <row r="120">
          <cell r="D120" t="str">
            <v>Cost Reduction/PVT Programs</v>
          </cell>
          <cell r="E120">
            <v>37073</v>
          </cell>
        </row>
        <row r="121">
          <cell r="D121" t="str">
            <v>Cost Reduction/PVT Programs</v>
          </cell>
          <cell r="E121">
            <v>37073</v>
          </cell>
        </row>
        <row r="122">
          <cell r="D122" t="str">
            <v>Cost Reduction/PVT Programs</v>
          </cell>
          <cell r="E122">
            <v>37438</v>
          </cell>
        </row>
        <row r="123">
          <cell r="D123" t="str">
            <v>Cost Reduction/PVT Programs</v>
          </cell>
          <cell r="E123">
            <v>37438</v>
          </cell>
        </row>
        <row r="124">
          <cell r="D124" t="str">
            <v>Cost Reduction/PVT Programs</v>
          </cell>
          <cell r="E124">
            <v>37438</v>
          </cell>
        </row>
        <row r="125">
          <cell r="D125" t="str">
            <v>Cost Reduction/PVT Programs</v>
          </cell>
          <cell r="E125">
            <v>37438</v>
          </cell>
        </row>
        <row r="126">
          <cell r="D126" t="str">
            <v>Cost Reduction/PVT Programs</v>
          </cell>
          <cell r="E126">
            <v>37438</v>
          </cell>
        </row>
        <row r="127">
          <cell r="D127" t="str">
            <v>Cost Reduction/PVT Programs</v>
          </cell>
          <cell r="E127">
            <v>37438</v>
          </cell>
        </row>
        <row r="128">
          <cell r="D128" t="str">
            <v>Cost Reduction/PVT Programs</v>
          </cell>
          <cell r="E128">
            <v>37438</v>
          </cell>
        </row>
        <row r="129">
          <cell r="D129" t="str">
            <v>Cost Reduction/PVT Programs</v>
          </cell>
          <cell r="E129">
            <v>37438</v>
          </cell>
        </row>
        <row r="130">
          <cell r="D130" t="str">
            <v>Cost Reduction/PVT Programs</v>
          </cell>
          <cell r="E130">
            <v>37438</v>
          </cell>
        </row>
        <row r="131">
          <cell r="D131" t="str">
            <v>Cost Reduction/PVT Programs</v>
          </cell>
          <cell r="E131">
            <v>37438</v>
          </cell>
        </row>
        <row r="132">
          <cell r="D132" t="str">
            <v>Cost Reduction/PVT Programs</v>
          </cell>
          <cell r="E132">
            <v>37257</v>
          </cell>
        </row>
        <row r="133">
          <cell r="D133" t="str">
            <v>Components Provision</v>
          </cell>
          <cell r="E133">
            <v>37104</v>
          </cell>
        </row>
        <row r="134">
          <cell r="D134" t="str">
            <v>Components Provision</v>
          </cell>
          <cell r="E134">
            <v>37469</v>
          </cell>
        </row>
        <row r="135">
          <cell r="D135" t="str">
            <v>Components Provision</v>
          </cell>
          <cell r="E135">
            <v>37834</v>
          </cell>
        </row>
        <row r="136">
          <cell r="D136" t="str">
            <v>Components Provision</v>
          </cell>
          <cell r="E136">
            <v>38200</v>
          </cell>
        </row>
        <row r="137">
          <cell r="D137" t="str">
            <v>Components Provision</v>
          </cell>
          <cell r="E137">
            <v>38565</v>
          </cell>
        </row>
        <row r="138">
          <cell r="D138" t="str">
            <v>Components Provision</v>
          </cell>
          <cell r="E138">
            <v>38930</v>
          </cell>
        </row>
        <row r="139">
          <cell r="D139" t="str">
            <v>CD4E Transmission</v>
          </cell>
          <cell r="E139">
            <v>36586</v>
          </cell>
        </row>
        <row r="140">
          <cell r="D140" t="str">
            <v>CD4E Transmission</v>
          </cell>
          <cell r="E140">
            <v>37226</v>
          </cell>
        </row>
        <row r="141">
          <cell r="D141" t="str">
            <v>CD4E Transmission</v>
          </cell>
          <cell r="E141">
            <v>36739</v>
          </cell>
        </row>
        <row r="142">
          <cell r="D142" t="str">
            <v>Brand Strategy Provision</v>
          </cell>
          <cell r="E142">
            <v>37469</v>
          </cell>
        </row>
        <row r="143">
          <cell r="D143" t="str">
            <v>Brand Strategy Provision</v>
          </cell>
          <cell r="E143">
            <v>37834</v>
          </cell>
        </row>
        <row r="144">
          <cell r="D144" t="str">
            <v>Brand Strategy Provision</v>
          </cell>
          <cell r="E144">
            <v>37834</v>
          </cell>
        </row>
        <row r="145">
          <cell r="D145" t="str">
            <v>AX4N/S Transmission</v>
          </cell>
          <cell r="E145">
            <v>36192</v>
          </cell>
        </row>
        <row r="146">
          <cell r="D146" t="str">
            <v>AX4N/S Transmission</v>
          </cell>
          <cell r="E146">
            <v>36342</v>
          </cell>
        </row>
        <row r="147">
          <cell r="D147" t="str">
            <v>AX4N/S Transmission</v>
          </cell>
          <cell r="E147">
            <v>36373</v>
          </cell>
        </row>
        <row r="148">
          <cell r="D148" t="str">
            <v>AX4N/S Transmission</v>
          </cell>
          <cell r="E148">
            <v>37104</v>
          </cell>
        </row>
        <row r="149">
          <cell r="D149" t="str">
            <v>AX4N/S Transmission</v>
          </cell>
          <cell r="E149">
            <v>37438</v>
          </cell>
        </row>
        <row r="150">
          <cell r="D150" t="str">
            <v>Assembly &amp; Component Capacity</v>
          </cell>
          <cell r="E150">
            <v>36161</v>
          </cell>
        </row>
        <row r="151">
          <cell r="D151" t="str">
            <v>Assembly &amp; Component Capacity</v>
          </cell>
          <cell r="E151">
            <v>36861</v>
          </cell>
        </row>
        <row r="152">
          <cell r="D152" t="str">
            <v>Assembly &amp; Component Capacity</v>
          </cell>
          <cell r="E152">
            <v>37043</v>
          </cell>
        </row>
        <row r="153">
          <cell r="D153" t="str">
            <v>Assembly &amp; Component Capacity</v>
          </cell>
          <cell r="E153">
            <v>36770</v>
          </cell>
        </row>
        <row r="154">
          <cell r="D154" t="str">
            <v>Assembly &amp; Component Capacity</v>
          </cell>
          <cell r="E154">
            <v>36784</v>
          </cell>
        </row>
        <row r="155">
          <cell r="D155" t="str">
            <v>Assembly &amp; Component Capacity</v>
          </cell>
          <cell r="E155">
            <v>36951</v>
          </cell>
        </row>
        <row r="156">
          <cell r="D156" t="str">
            <v>Assembly &amp; Component Capacity</v>
          </cell>
          <cell r="E156">
            <v>37256</v>
          </cell>
        </row>
        <row r="157">
          <cell r="D157" t="str">
            <v>All Other Powertrain</v>
          </cell>
          <cell r="E157">
            <v>34547</v>
          </cell>
        </row>
        <row r="158">
          <cell r="D158" t="str">
            <v>All Other Powertrain</v>
          </cell>
          <cell r="E158">
            <v>35278</v>
          </cell>
        </row>
        <row r="159">
          <cell r="D159" t="str">
            <v>All Other Powertrain</v>
          </cell>
          <cell r="E159">
            <v>35278</v>
          </cell>
        </row>
        <row r="160">
          <cell r="D160" t="str">
            <v>All Other Powertrain</v>
          </cell>
          <cell r="E160">
            <v>36241</v>
          </cell>
        </row>
        <row r="161">
          <cell r="D161" t="str">
            <v>All Other Powertrain</v>
          </cell>
          <cell r="E161">
            <v>36008</v>
          </cell>
        </row>
        <row r="162">
          <cell r="D162" t="str">
            <v>All Other Powertrain</v>
          </cell>
          <cell r="E162">
            <v>36708</v>
          </cell>
        </row>
        <row r="163">
          <cell r="D163" t="str">
            <v>All Other Powertrain</v>
          </cell>
          <cell r="E163">
            <v>36373</v>
          </cell>
        </row>
        <row r="164">
          <cell r="D164" t="str">
            <v>All Other Powertrain</v>
          </cell>
          <cell r="E164">
            <v>36770</v>
          </cell>
        </row>
        <row r="165">
          <cell r="D165" t="str">
            <v>All Other Powertrain</v>
          </cell>
          <cell r="E165">
            <v>36739</v>
          </cell>
        </row>
        <row r="166">
          <cell r="D166" t="str">
            <v>All Other Powertrain</v>
          </cell>
          <cell r="E166">
            <v>37438</v>
          </cell>
        </row>
        <row r="167">
          <cell r="D167" t="str">
            <v>All Other Powertrain</v>
          </cell>
          <cell r="E167">
            <v>37104</v>
          </cell>
        </row>
        <row r="168">
          <cell r="D168" t="str">
            <v>All Other Powertrain</v>
          </cell>
          <cell r="E168">
            <v>38930</v>
          </cell>
        </row>
        <row r="169">
          <cell r="D169" t="str">
            <v>All Other Powertrain</v>
          </cell>
          <cell r="E169">
            <v>36526</v>
          </cell>
        </row>
        <row r="170">
          <cell r="D170" t="str">
            <v>All Other Mercury Vehicle Programs</v>
          </cell>
          <cell r="E170">
            <v>35730</v>
          </cell>
        </row>
        <row r="171">
          <cell r="D171" t="str">
            <v>All Other Mercury Vehicle Programs</v>
          </cell>
          <cell r="E171">
            <v>36052</v>
          </cell>
        </row>
        <row r="172">
          <cell r="D172" t="str">
            <v>All Other Mercury Vehicle Programs</v>
          </cell>
          <cell r="E172">
            <v>36052</v>
          </cell>
        </row>
        <row r="173">
          <cell r="D173" t="str">
            <v>All Other Mercury Vehicle Programs</v>
          </cell>
          <cell r="E173">
            <v>36342</v>
          </cell>
        </row>
        <row r="174">
          <cell r="D174" t="str">
            <v>All Other Mercury Vehicle Programs</v>
          </cell>
          <cell r="E174">
            <v>36739</v>
          </cell>
        </row>
        <row r="175">
          <cell r="D175" t="str">
            <v>All Other Mercury Vehicle Programs</v>
          </cell>
          <cell r="E175">
            <v>37193</v>
          </cell>
        </row>
        <row r="176">
          <cell r="D176" t="str">
            <v>All Other Mercury Vehicle Programs</v>
          </cell>
          <cell r="E176">
            <v>37834</v>
          </cell>
        </row>
        <row r="177">
          <cell r="D177" t="str">
            <v>All Other Mercury Vehicle Programs</v>
          </cell>
          <cell r="E177">
            <v>38200</v>
          </cell>
        </row>
        <row r="178">
          <cell r="D178" t="str">
            <v>All Other Mercury Vehicle Programs</v>
          </cell>
          <cell r="E178">
            <v>39661</v>
          </cell>
        </row>
        <row r="179">
          <cell r="D179" t="str">
            <v>All Other Mercury Vehicle Programs</v>
          </cell>
          <cell r="E179">
            <v>40026</v>
          </cell>
        </row>
        <row r="180">
          <cell r="D180" t="str">
            <v>All Other Mercury Vehicle Programs</v>
          </cell>
          <cell r="E180">
            <v>40756</v>
          </cell>
        </row>
        <row r="181">
          <cell r="D181" t="str">
            <v>All Other Lincoln Vehicle Programs</v>
          </cell>
          <cell r="E181">
            <v>35278</v>
          </cell>
        </row>
        <row r="182">
          <cell r="D182" t="str">
            <v>All Other Lincoln Vehicle Programs</v>
          </cell>
          <cell r="E182">
            <v>35716</v>
          </cell>
        </row>
        <row r="183">
          <cell r="D183" t="str">
            <v>All Other Lincoln Vehicle Programs</v>
          </cell>
          <cell r="E183">
            <v>35643</v>
          </cell>
        </row>
        <row r="184">
          <cell r="D184" t="str">
            <v>All Other Lincoln Vehicle Programs</v>
          </cell>
          <cell r="E184">
            <v>35643</v>
          </cell>
        </row>
        <row r="185">
          <cell r="D185" t="str">
            <v>All Other Lincoln Vehicle Programs</v>
          </cell>
          <cell r="E185">
            <v>36252</v>
          </cell>
        </row>
        <row r="186">
          <cell r="D186" t="str">
            <v>All Other Lincoln Vehicle Programs</v>
          </cell>
          <cell r="E186">
            <v>36252</v>
          </cell>
        </row>
        <row r="187">
          <cell r="D187" t="str">
            <v>All Other Lincoln Vehicle Programs</v>
          </cell>
          <cell r="E187">
            <v>36008</v>
          </cell>
        </row>
        <row r="188">
          <cell r="D188" t="str">
            <v>All Other Lincoln Vehicle Programs</v>
          </cell>
          <cell r="E188">
            <v>37207</v>
          </cell>
        </row>
        <row r="189">
          <cell r="D189" t="str">
            <v>All Other Lincoln Vehicle Programs</v>
          </cell>
          <cell r="E189">
            <v>36739</v>
          </cell>
        </row>
        <row r="190">
          <cell r="D190" t="str">
            <v>All Other Lincoln Vehicle Programs</v>
          </cell>
          <cell r="E190">
            <v>37104</v>
          </cell>
        </row>
        <row r="191">
          <cell r="D191" t="str">
            <v>All Other Lincoln Vehicle Programs</v>
          </cell>
          <cell r="E191">
            <v>37073</v>
          </cell>
        </row>
        <row r="192">
          <cell r="D192" t="str">
            <v>All Other Lincoln Vehicle Programs</v>
          </cell>
          <cell r="E192">
            <v>37469</v>
          </cell>
        </row>
        <row r="193">
          <cell r="D193" t="str">
            <v>All Other Lincoln Vehicle Programs</v>
          </cell>
          <cell r="E193">
            <v>37469</v>
          </cell>
        </row>
        <row r="194">
          <cell r="D194" t="str">
            <v>All Other Lincoln Vehicle Programs</v>
          </cell>
          <cell r="E194">
            <v>37834</v>
          </cell>
        </row>
        <row r="195">
          <cell r="D195" t="str">
            <v>All Other Lincoln Vehicle Programs</v>
          </cell>
          <cell r="E195">
            <v>37834</v>
          </cell>
        </row>
        <row r="196">
          <cell r="D196" t="str">
            <v>All Other Lincoln Vehicle Programs</v>
          </cell>
          <cell r="E196">
            <v>37834</v>
          </cell>
        </row>
        <row r="197">
          <cell r="D197" t="str">
            <v>All Other Lincoln Vehicle Programs</v>
          </cell>
          <cell r="E197">
            <v>37834</v>
          </cell>
        </row>
        <row r="198">
          <cell r="D198" t="str">
            <v>All Other Lincoln Vehicle Programs</v>
          </cell>
          <cell r="E198">
            <v>39661</v>
          </cell>
        </row>
        <row r="199">
          <cell r="D199" t="str">
            <v>All Other Lincoln Vehicle Programs</v>
          </cell>
          <cell r="E199">
            <v>39479</v>
          </cell>
        </row>
        <row r="200">
          <cell r="D200" t="str">
            <v>All Other Lincoln Vehicle Programs</v>
          </cell>
          <cell r="E200">
            <v>39356</v>
          </cell>
        </row>
        <row r="201">
          <cell r="D201" t="str">
            <v>All Other Lincoln Vehicle Programs</v>
          </cell>
          <cell r="E201">
            <v>39295</v>
          </cell>
        </row>
        <row r="202">
          <cell r="D202" t="str">
            <v>All Other Lincoln Vehicle Programs</v>
          </cell>
          <cell r="E202">
            <v>39479</v>
          </cell>
        </row>
        <row r="203">
          <cell r="D203" t="str">
            <v>All Other Lincoln Vehicle Programs</v>
          </cell>
          <cell r="E203">
            <v>39295</v>
          </cell>
        </row>
        <row r="204">
          <cell r="D204" t="str">
            <v>All Other Lincoln Vehicle Programs</v>
          </cell>
          <cell r="E204">
            <v>39356</v>
          </cell>
        </row>
        <row r="205">
          <cell r="D205" t="str">
            <v>All Other Lincoln Vehicle Programs</v>
          </cell>
          <cell r="E205">
            <v>39295</v>
          </cell>
        </row>
        <row r="206">
          <cell r="D206" t="str">
            <v>All Other Lincoln Vehicle Programs</v>
          </cell>
          <cell r="E206">
            <v>39814</v>
          </cell>
        </row>
        <row r="207">
          <cell r="D207" t="str">
            <v>All Other Lincoln Vehicle Programs</v>
          </cell>
          <cell r="E207">
            <v>39661</v>
          </cell>
        </row>
        <row r="208">
          <cell r="D208" t="str">
            <v>All Other Lincoln Vehicle Programs</v>
          </cell>
          <cell r="E208">
            <v>39814</v>
          </cell>
        </row>
        <row r="209">
          <cell r="D209" t="str">
            <v>All Other Lincoln Vehicle Programs</v>
          </cell>
          <cell r="E209">
            <v>39814</v>
          </cell>
        </row>
        <row r="210">
          <cell r="D210" t="str">
            <v>All Other Lincoln Vehicle Programs</v>
          </cell>
          <cell r="E210">
            <v>40026</v>
          </cell>
        </row>
        <row r="211">
          <cell r="D211" t="str">
            <v>All Other Lincoln Vehicle Programs</v>
          </cell>
          <cell r="E211">
            <v>40756</v>
          </cell>
        </row>
        <row r="212">
          <cell r="D212" t="str">
            <v>All Other Lincoln Vehicle Programs</v>
          </cell>
          <cell r="E212">
            <v>40575</v>
          </cell>
        </row>
        <row r="213">
          <cell r="D213" t="str">
            <v>All Other Lincoln Vehicle Programs</v>
          </cell>
          <cell r="E213">
            <v>40391</v>
          </cell>
        </row>
        <row r="214">
          <cell r="D214" t="str">
            <v>All Other Lincoln Vehicle Programs</v>
          </cell>
          <cell r="E214">
            <v>40483</v>
          </cell>
        </row>
        <row r="215">
          <cell r="D215" t="str">
            <v>All Other Lincoln Vehicle Programs</v>
          </cell>
          <cell r="E215">
            <v>40756</v>
          </cell>
        </row>
        <row r="216">
          <cell r="D216" t="str">
            <v>All Other Lincoln Vehicle Programs</v>
          </cell>
          <cell r="E216">
            <v>40848</v>
          </cell>
        </row>
        <row r="217">
          <cell r="D217" t="str">
            <v>Accruals &amp; Other (incl. Efficiencies Under Study)</v>
          </cell>
          <cell r="E217">
            <v>36161</v>
          </cell>
        </row>
        <row r="218">
          <cell r="D218" t="str">
            <v>Accruals &amp; Other (incl. Efficiencies Under Study)</v>
          </cell>
          <cell r="E218">
            <v>36161</v>
          </cell>
        </row>
        <row r="219">
          <cell r="D219" t="str">
            <v>Accruals &amp; Other (incl. Efficiencies Under Study)</v>
          </cell>
          <cell r="E219">
            <v>36708</v>
          </cell>
        </row>
        <row r="220">
          <cell r="D220" t="str">
            <v>Accruals &amp; Other (incl. Efficiencies Under Study)</v>
          </cell>
          <cell r="E220">
            <v>36708</v>
          </cell>
        </row>
        <row r="221">
          <cell r="D221" t="str">
            <v>Accruals &amp; Other (incl. Efficiencies Under Study)</v>
          </cell>
          <cell r="E221">
            <v>36861</v>
          </cell>
        </row>
        <row r="222">
          <cell r="D222" t="str">
            <v>Accruals &amp; Other (incl. Efficiencies Under Study)</v>
          </cell>
          <cell r="E222">
            <v>37073</v>
          </cell>
        </row>
        <row r="223">
          <cell r="D223" t="str">
            <v>Accruals &amp; Other (incl. Efficiencies Under Study)</v>
          </cell>
          <cell r="E223">
            <v>38565</v>
          </cell>
        </row>
        <row r="224">
          <cell r="D224" t="str">
            <v>Accruals &amp; Other (incl. Efficiencies Under Study)</v>
          </cell>
          <cell r="E224">
            <v>37226</v>
          </cell>
        </row>
        <row r="225">
          <cell r="D225" t="str">
            <v>Accruals &amp; Other (incl. Efficiencies Under Study)</v>
          </cell>
          <cell r="E225">
            <v>37104</v>
          </cell>
        </row>
        <row r="226">
          <cell r="D226" t="str">
            <v>Accruals &amp; Other (incl. Efficiencies Under Study)</v>
          </cell>
          <cell r="E226">
            <v>38200</v>
          </cell>
        </row>
        <row r="227">
          <cell r="D227" t="str">
            <v>Accruals &amp; Other (incl. Efficiencies Under Study)</v>
          </cell>
          <cell r="E227">
            <v>37834</v>
          </cell>
        </row>
        <row r="228">
          <cell r="D228" t="str">
            <v>6R Transmission</v>
          </cell>
          <cell r="E228">
            <v>38200</v>
          </cell>
        </row>
        <row r="229">
          <cell r="D229" t="str">
            <v>6R Transmission</v>
          </cell>
          <cell r="E229">
            <v>38384</v>
          </cell>
        </row>
        <row r="230">
          <cell r="D230" t="str">
            <v>6R Transmission</v>
          </cell>
          <cell r="E230">
            <v>38930</v>
          </cell>
        </row>
        <row r="231">
          <cell r="D231" t="str">
            <v>6R Transmission</v>
          </cell>
          <cell r="E231">
            <v>39295</v>
          </cell>
        </row>
        <row r="232">
          <cell r="D232" t="str">
            <v>6R Transmission</v>
          </cell>
          <cell r="E232">
            <v>39448</v>
          </cell>
        </row>
        <row r="233">
          <cell r="D233" t="str">
            <v>6.8L VDE for Navigator</v>
          </cell>
          <cell r="E233">
            <v>38565</v>
          </cell>
        </row>
        <row r="234">
          <cell r="D234" t="str">
            <v>6.8L VDE for Navigator</v>
          </cell>
          <cell r="E234">
            <v>38565</v>
          </cell>
        </row>
        <row r="235">
          <cell r="D235" t="str">
            <v>5R Transmission</v>
          </cell>
          <cell r="E235">
            <v>36731</v>
          </cell>
        </row>
        <row r="236">
          <cell r="D236" t="str">
            <v>5R Transmission</v>
          </cell>
          <cell r="E236">
            <v>37104</v>
          </cell>
        </row>
        <row r="237">
          <cell r="D237" t="str">
            <v>5R Transmission</v>
          </cell>
          <cell r="E237">
            <v>37104</v>
          </cell>
        </row>
        <row r="238">
          <cell r="D238" t="str">
            <v>5R Transmission</v>
          </cell>
          <cell r="E238">
            <v>37469</v>
          </cell>
        </row>
        <row r="239">
          <cell r="D239" t="str">
            <v>5R Transmission</v>
          </cell>
          <cell r="E239">
            <v>37469</v>
          </cell>
        </row>
        <row r="240">
          <cell r="D240" t="str">
            <v>4R Transmission</v>
          </cell>
          <cell r="E240">
            <v>35643</v>
          </cell>
        </row>
        <row r="241">
          <cell r="D241" t="str">
            <v>4R Transmission</v>
          </cell>
          <cell r="E241">
            <v>35835</v>
          </cell>
        </row>
        <row r="242">
          <cell r="D242" t="str">
            <v>4R Transmission</v>
          </cell>
          <cell r="E242">
            <v>36526</v>
          </cell>
        </row>
        <row r="243">
          <cell r="D243" t="str">
            <v>4R Transmission</v>
          </cell>
          <cell r="E243">
            <v>37138</v>
          </cell>
        </row>
        <row r="244">
          <cell r="D244" t="str">
            <v>4R Transmission</v>
          </cell>
          <cell r="E244">
            <v>37073</v>
          </cell>
        </row>
        <row r="245">
          <cell r="D245" t="str">
            <v>4R Transmission</v>
          </cell>
          <cell r="E245">
            <v>37773</v>
          </cell>
        </row>
        <row r="246">
          <cell r="D246" t="str">
            <v>4.6/5.4/6.8L V Engines - All Other</v>
          </cell>
          <cell r="E246">
            <v>35339</v>
          </cell>
        </row>
        <row r="247">
          <cell r="D247" t="str">
            <v>4.6/5.4/6.8L V Engines - All Other</v>
          </cell>
          <cell r="E247">
            <v>35278</v>
          </cell>
        </row>
        <row r="248">
          <cell r="D248" t="str">
            <v>4.6/5.4/6.8L V Engines - All Other</v>
          </cell>
          <cell r="E248">
            <v>36039</v>
          </cell>
        </row>
        <row r="249">
          <cell r="D249" t="str">
            <v>4.6/5.4/6.8L V Engines - All Other</v>
          </cell>
          <cell r="E249">
            <v>36251</v>
          </cell>
        </row>
        <row r="250">
          <cell r="D250" t="str">
            <v>4.6/5.4/6.8L V Engines - All Other</v>
          </cell>
          <cell r="E250">
            <v>36739</v>
          </cell>
        </row>
        <row r="251">
          <cell r="D251" t="str">
            <v>4.6/5.4/6.8L V Engines - All Other</v>
          </cell>
          <cell r="E251">
            <v>36373</v>
          </cell>
        </row>
        <row r="252">
          <cell r="D252" t="str">
            <v>4.6/5.4/6.8L V Engines - All Other</v>
          </cell>
          <cell r="E252">
            <v>36708</v>
          </cell>
        </row>
        <row r="253">
          <cell r="D253" t="str">
            <v>4.6/5.4/6.8L V Engines - All Other</v>
          </cell>
          <cell r="E253">
            <v>37257</v>
          </cell>
        </row>
        <row r="254">
          <cell r="D254" t="str">
            <v>4.6/5.4/6.8L V Engines - All Other</v>
          </cell>
          <cell r="E254">
            <v>36739</v>
          </cell>
        </row>
        <row r="255">
          <cell r="D255" t="str">
            <v>4.6/5.4/6.8L V Engines - All Other</v>
          </cell>
          <cell r="E255">
            <v>37196</v>
          </cell>
        </row>
        <row r="256">
          <cell r="D256" t="str">
            <v>4.6/5.4/6.8L V Engines - All Other</v>
          </cell>
          <cell r="E256">
            <v>37469</v>
          </cell>
        </row>
        <row r="257">
          <cell r="D257" t="str">
            <v>4.6/5.4/6.8L V Engines - 4V Programs</v>
          </cell>
          <cell r="E257">
            <v>36342</v>
          </cell>
        </row>
        <row r="258">
          <cell r="D258" t="str">
            <v>4.6/5.4/6.8L V Engines - 4V Programs</v>
          </cell>
          <cell r="E258">
            <v>36008</v>
          </cell>
        </row>
        <row r="259">
          <cell r="D259" t="str">
            <v>4.6/5.4/6.8L V Engines - 4V Programs</v>
          </cell>
          <cell r="E259">
            <v>36526</v>
          </cell>
        </row>
        <row r="260">
          <cell r="D260" t="str">
            <v>4.6/5.4/6.8L V Engines - 4V Programs</v>
          </cell>
          <cell r="E260">
            <v>36831</v>
          </cell>
        </row>
        <row r="261">
          <cell r="D261" t="str">
            <v>4.6/5.4/6.8L V Engines - 4V Programs</v>
          </cell>
          <cell r="E261">
            <v>37104</v>
          </cell>
        </row>
        <row r="262">
          <cell r="D262" t="str">
            <v>4.6/5.4/6.8L V Engines - 4V Programs</v>
          </cell>
          <cell r="E262">
            <v>37834</v>
          </cell>
        </row>
        <row r="263">
          <cell r="D263" t="str">
            <v>4.6/5.4/6.8L V Engines - 4V Programs</v>
          </cell>
          <cell r="E263">
            <v>37834</v>
          </cell>
        </row>
        <row r="264">
          <cell r="D264" t="str">
            <v>4.6/5.4/6.8L V Engines - 3V Programs</v>
          </cell>
          <cell r="E264">
            <v>34547</v>
          </cell>
        </row>
        <row r="265">
          <cell r="D265" t="str">
            <v>4.6/5.4/6.8L V Engines - 3V Programs</v>
          </cell>
          <cell r="E265">
            <v>37834</v>
          </cell>
        </row>
        <row r="266">
          <cell r="D266" t="str">
            <v>4.6/5.4/6.8L V Engines - 3V Programs</v>
          </cell>
          <cell r="E266">
            <v>38384</v>
          </cell>
        </row>
        <row r="267">
          <cell r="D267" t="str">
            <v>4.0L V6</v>
          </cell>
          <cell r="E267">
            <v>36739</v>
          </cell>
        </row>
        <row r="268">
          <cell r="D268" t="str">
            <v>4.0L V6</v>
          </cell>
          <cell r="E268">
            <v>37469</v>
          </cell>
        </row>
        <row r="269">
          <cell r="D269" t="str">
            <v>3.9L AJ V8</v>
          </cell>
          <cell r="E269">
            <v>36252</v>
          </cell>
        </row>
        <row r="270">
          <cell r="D270" t="str">
            <v>3.9L AJ V8</v>
          </cell>
          <cell r="E270">
            <v>36739</v>
          </cell>
        </row>
        <row r="271">
          <cell r="D271" t="str">
            <v>3.9L AJ V8</v>
          </cell>
          <cell r="E271">
            <v>37104</v>
          </cell>
        </row>
        <row r="272">
          <cell r="D272" t="str">
            <v>3.9L AJ V8</v>
          </cell>
          <cell r="E272">
            <v>37469</v>
          </cell>
        </row>
        <row r="273">
          <cell r="D273" t="str">
            <v>3.9L AJ V8</v>
          </cell>
          <cell r="E273">
            <v>38749</v>
          </cell>
        </row>
        <row r="274">
          <cell r="D274" t="str">
            <v>3.0L DAMB VCT</v>
          </cell>
          <cell r="E274">
            <v>37469</v>
          </cell>
        </row>
        <row r="275">
          <cell r="D275" t="str">
            <v>2007½ Mercury Windstar Derivative</v>
          </cell>
          <cell r="E275">
            <v>39083</v>
          </cell>
        </row>
        <row r="276">
          <cell r="D276" t="str">
            <v>2006½ LS Freshening</v>
          </cell>
          <cell r="E276">
            <v>38749</v>
          </cell>
        </row>
        <row r="277">
          <cell r="D277" t="str">
            <v>2006½ LS Freshening</v>
          </cell>
          <cell r="E277">
            <v>38749</v>
          </cell>
        </row>
        <row r="278">
          <cell r="D278" t="str">
            <v>2006 Town Car</v>
          </cell>
          <cell r="E278">
            <v>38565</v>
          </cell>
        </row>
        <row r="279">
          <cell r="D279" t="str">
            <v>2006 Navigator Major Freshening</v>
          </cell>
          <cell r="E279">
            <v>38565</v>
          </cell>
        </row>
        <row r="280">
          <cell r="D280" t="str">
            <v>2006 Mercury Sable</v>
          </cell>
          <cell r="E280">
            <v>38565</v>
          </cell>
        </row>
        <row r="281">
          <cell r="D281" t="str">
            <v>2006 Grand Marquis Freshening</v>
          </cell>
          <cell r="E281">
            <v>38565</v>
          </cell>
        </row>
        <row r="282">
          <cell r="D282" t="str">
            <v>2005½ Mountaineer</v>
          </cell>
          <cell r="E282">
            <v>38384</v>
          </cell>
        </row>
        <row r="283">
          <cell r="D283" t="str">
            <v>2005½ Lincoln SUV (U231)</v>
          </cell>
          <cell r="E283">
            <v>38384</v>
          </cell>
        </row>
        <row r="284">
          <cell r="D284" t="str">
            <v>2005 LS Minor Feature Program</v>
          </cell>
          <cell r="E284">
            <v>38200</v>
          </cell>
        </row>
        <row r="285">
          <cell r="D285" t="str">
            <v>2005 Lincoln D310</v>
          </cell>
          <cell r="E285">
            <v>38292</v>
          </cell>
        </row>
        <row r="286">
          <cell r="D286" t="str">
            <v>2005 D310 Convertible</v>
          </cell>
          <cell r="E286">
            <v>38292</v>
          </cell>
        </row>
        <row r="287">
          <cell r="D287" t="str">
            <v>2004 Mountaineer Interior Upgrade</v>
          </cell>
          <cell r="E287">
            <v>37834</v>
          </cell>
        </row>
        <row r="288">
          <cell r="D288" t="str">
            <v>2004 Mercury Sable</v>
          </cell>
          <cell r="E288">
            <v>37834</v>
          </cell>
        </row>
        <row r="289">
          <cell r="D289" t="str">
            <v>2003½ Mercury Windstar Derivative</v>
          </cell>
          <cell r="E289">
            <v>37681</v>
          </cell>
        </row>
        <row r="290">
          <cell r="D290" t="str">
            <v>2003 LS Freshening</v>
          </cell>
          <cell r="E290">
            <v>37469</v>
          </cell>
        </row>
        <row r="291">
          <cell r="D291" t="str">
            <v>2003 LS Freshening</v>
          </cell>
          <cell r="E291">
            <v>37469</v>
          </cell>
        </row>
        <row r="292">
          <cell r="D292" t="str">
            <v>2002½ Mercury Marauder</v>
          </cell>
          <cell r="E292">
            <v>37348</v>
          </cell>
        </row>
        <row r="293">
          <cell r="D293" t="str">
            <v>2002½ Lincoln SUV - U231</v>
          </cell>
          <cell r="E293">
            <v>37382</v>
          </cell>
        </row>
        <row r="294">
          <cell r="D294" t="str">
            <v>2002½ Grand Marquis</v>
          </cell>
          <cell r="E294">
            <v>37288</v>
          </cell>
        </row>
        <row r="295">
          <cell r="D295" t="str">
            <v>2002 Town Car Minor Freshening</v>
          </cell>
          <cell r="E295">
            <v>37257</v>
          </cell>
        </row>
        <row r="296">
          <cell r="D296" t="str">
            <v>2002 Town Car Minor Freshening</v>
          </cell>
          <cell r="E296">
            <v>37361</v>
          </cell>
        </row>
        <row r="297">
          <cell r="D297" t="str">
            <v>2002 Lincoln Navigator</v>
          </cell>
          <cell r="E297">
            <v>37268</v>
          </cell>
        </row>
        <row r="298">
          <cell r="D298" t="str">
            <v>2002 Lincoln Navigator</v>
          </cell>
          <cell r="E298">
            <v>37268</v>
          </cell>
        </row>
        <row r="299">
          <cell r="D299" t="str">
            <v>2001½ Lincoln Blackwood</v>
          </cell>
          <cell r="E299">
            <v>37046</v>
          </cell>
        </row>
        <row r="300">
          <cell r="D300" t="str">
            <v>2001 Villager Minor Freshening</v>
          </cell>
          <cell r="E300">
            <v>36766</v>
          </cell>
        </row>
        <row r="301">
          <cell r="D301" t="str">
            <v>2001 Town Car</v>
          </cell>
          <cell r="E301">
            <v>36739</v>
          </cell>
        </row>
        <row r="302">
          <cell r="D302" t="str">
            <v>2001 Mountaineer</v>
          </cell>
          <cell r="E302">
            <v>36843</v>
          </cell>
        </row>
        <row r="303">
          <cell r="D303" t="str">
            <v>2001 Lincoln Paint Clearcoat</v>
          </cell>
          <cell r="E303">
            <v>37255</v>
          </cell>
        </row>
        <row r="304">
          <cell r="D304" t="str">
            <v>2001 Grand Marquis</v>
          </cell>
          <cell r="E304">
            <v>36739</v>
          </cell>
        </row>
        <row r="305">
          <cell r="D305" t="str">
            <v>2000 Mercury Sable</v>
          </cell>
          <cell r="E305">
            <v>36437</v>
          </cell>
        </row>
        <row r="306">
          <cell r="D306" t="str">
            <v>2000 DEW98/X200 In-Cycle Actions</v>
          </cell>
          <cell r="E306">
            <v>36586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396"/>
  <sheetViews>
    <sheetView workbookViewId="0">
      <selection activeCell="D12" sqref="D12"/>
    </sheetView>
  </sheetViews>
  <sheetFormatPr defaultRowHeight="12.75"/>
  <cols>
    <col min="1" max="1" width="13.42578125" customWidth="1"/>
    <col min="2" max="2" width="38.7109375" customWidth="1"/>
    <col min="3" max="3" width="34" style="1" customWidth="1"/>
    <col min="4" max="4" width="40.5703125" customWidth="1"/>
    <col min="5" max="5" width="61.28515625" style="16" customWidth="1"/>
    <col min="6" max="6" width="26.5703125" style="16" customWidth="1"/>
    <col min="7" max="16384" width="9.140625" style="16"/>
  </cols>
  <sheetData>
    <row r="1" spans="1:5">
      <c r="A1" s="46" t="s">
        <v>337</v>
      </c>
      <c r="B1" s="46" t="s">
        <v>338</v>
      </c>
      <c r="C1" s="47" t="s">
        <v>339</v>
      </c>
      <c r="D1" s="46" t="s">
        <v>340</v>
      </c>
      <c r="E1" s="46" t="s">
        <v>341</v>
      </c>
    </row>
    <row r="2" spans="1:5">
      <c r="A2" s="48" t="s">
        <v>212</v>
      </c>
      <c r="B2" s="48" t="s">
        <v>269</v>
      </c>
      <c r="C2" s="48" t="s">
        <v>271</v>
      </c>
      <c r="D2" s="48">
        <v>132</v>
      </c>
      <c r="E2" s="45" t="str">
        <f>IF(D2&lt;&gt;"",A2&amp;"^^"&amp;D2,"")</f>
        <v>1.001GEN^^132</v>
      </c>
    </row>
    <row r="3" spans="1:5">
      <c r="A3" s="49" t="s">
        <v>213</v>
      </c>
      <c r="B3" s="48" t="s">
        <v>1</v>
      </c>
      <c r="C3" s="48" t="s">
        <v>184</v>
      </c>
      <c r="D3" s="48" t="s">
        <v>362</v>
      </c>
      <c r="E3" s="45" t="str">
        <f t="shared" ref="E3:E66" si="0">IF(D3&lt;&gt;"",A3&amp;"^^"&amp;D3,"")</f>
        <v>1.002GEN^^FOX 1.0 GTDI</v>
      </c>
    </row>
    <row r="4" spans="1:5">
      <c r="A4" s="49" t="s">
        <v>214</v>
      </c>
      <c r="B4" s="49" t="s">
        <v>3</v>
      </c>
      <c r="C4" s="49" t="s">
        <v>187</v>
      </c>
      <c r="D4" s="49" t="s">
        <v>505</v>
      </c>
      <c r="E4" s="45" t="str">
        <f t="shared" si="0"/>
        <v>1.003GEN^^6F15</v>
      </c>
    </row>
    <row r="5" spans="1:5">
      <c r="A5" s="5" t="s">
        <v>215</v>
      </c>
      <c r="B5" s="5" t="s">
        <v>239</v>
      </c>
      <c r="C5" s="5" t="s">
        <v>272</v>
      </c>
      <c r="D5" s="5" t="s">
        <v>369</v>
      </c>
      <c r="E5" s="45" t="str">
        <f t="shared" si="0"/>
        <v>1.004GEN^^1.0 L</v>
      </c>
    </row>
    <row r="6" spans="1:5">
      <c r="A6" s="5" t="s">
        <v>216</v>
      </c>
      <c r="B6" s="5" t="s">
        <v>2</v>
      </c>
      <c r="C6" s="5" t="s">
        <v>186</v>
      </c>
      <c r="D6" s="5">
        <v>125</v>
      </c>
      <c r="E6" s="45" t="str">
        <f t="shared" si="0"/>
        <v>1.005GEN^^125</v>
      </c>
    </row>
    <row r="7" spans="1:5">
      <c r="A7" s="5" t="s">
        <v>217</v>
      </c>
      <c r="B7" s="25" t="s">
        <v>270</v>
      </c>
      <c r="C7" s="25" t="s">
        <v>273</v>
      </c>
      <c r="D7" s="25" t="s">
        <v>506</v>
      </c>
      <c r="E7" s="45" t="str">
        <f t="shared" si="0"/>
        <v>1.006GEN^^AUTOMAAT</v>
      </c>
    </row>
    <row r="8" spans="1:5">
      <c r="A8" s="5" t="s">
        <v>218</v>
      </c>
      <c r="B8" s="5" t="s">
        <v>207</v>
      </c>
      <c r="C8" s="5" t="s">
        <v>207</v>
      </c>
      <c r="D8" s="5" t="s">
        <v>507</v>
      </c>
      <c r="E8" s="45" t="str">
        <f t="shared" si="0"/>
        <v>1.007GEN^^FWD</v>
      </c>
    </row>
    <row r="9" spans="1:5">
      <c r="A9" s="5" t="s">
        <v>219</v>
      </c>
      <c r="B9" s="5" t="s">
        <v>209</v>
      </c>
      <c r="C9" s="5" t="s">
        <v>238</v>
      </c>
      <c r="D9" s="5" t="s">
        <v>508</v>
      </c>
      <c r="E9" s="45" t="str">
        <f t="shared" si="0"/>
        <v>1.008GEN^^LHD</v>
      </c>
    </row>
    <row r="10" spans="1:5">
      <c r="A10" s="5" t="s">
        <v>220</v>
      </c>
      <c r="B10" s="5" t="s">
        <v>221</v>
      </c>
      <c r="C10" s="5" t="s">
        <v>268</v>
      </c>
      <c r="D10" s="5"/>
      <c r="E10" s="45" t="str">
        <f t="shared" si="0"/>
        <v/>
      </c>
    </row>
    <row r="11" spans="1:5">
      <c r="A11" s="5" t="s">
        <v>222</v>
      </c>
      <c r="B11" s="5" t="s">
        <v>51</v>
      </c>
      <c r="C11" s="5" t="s">
        <v>274</v>
      </c>
      <c r="D11" s="5" t="s">
        <v>668</v>
      </c>
      <c r="E11" s="45" t="str">
        <f t="shared" si="0"/>
        <v>1.010GEN^^95RON E10 ( of 95RON)</v>
      </c>
    </row>
    <row r="12" spans="1:5">
      <c r="A12" s="5" t="s">
        <v>223</v>
      </c>
      <c r="B12" s="5" t="s">
        <v>4</v>
      </c>
      <c r="C12" s="5" t="s">
        <v>188</v>
      </c>
      <c r="D12" s="5" t="s">
        <v>347</v>
      </c>
      <c r="E12" s="45" t="str">
        <f t="shared" si="0"/>
        <v>1.011GEN^^ST6</v>
      </c>
    </row>
    <row r="13" spans="1:5" ht="13.5" thickBot="1">
      <c r="A13" s="8" t="s">
        <v>267</v>
      </c>
      <c r="B13" s="9" t="s">
        <v>210</v>
      </c>
      <c r="C13" s="9" t="s">
        <v>177</v>
      </c>
      <c r="D13" s="5" t="s">
        <v>348</v>
      </c>
      <c r="E13" s="45" t="str">
        <f t="shared" si="0"/>
        <v>1.012GEN^^5 DOOR</v>
      </c>
    </row>
    <row r="14" spans="1:5">
      <c r="A14" s="38" t="s">
        <v>232</v>
      </c>
      <c r="B14" s="39" t="s">
        <v>5</v>
      </c>
      <c r="C14" s="40" t="s">
        <v>71</v>
      </c>
      <c r="D14" s="40">
        <v>600</v>
      </c>
      <c r="E14" s="45" t="str">
        <f t="shared" si="0"/>
        <v>2.001BODY^^600</v>
      </c>
    </row>
    <row r="15" spans="1:5">
      <c r="A15" s="33" t="s">
        <v>233</v>
      </c>
      <c r="B15" s="31" t="s">
        <v>6</v>
      </c>
      <c r="C15" s="7" t="s">
        <v>72</v>
      </c>
      <c r="D15" s="7" t="s">
        <v>349</v>
      </c>
      <c r="E15" s="45" t="str">
        <f t="shared" si="0"/>
        <v>2.002BODY^^R134A</v>
      </c>
    </row>
    <row r="16" spans="1:5">
      <c r="A16" s="33" t="s">
        <v>234</v>
      </c>
      <c r="B16" s="31" t="s">
        <v>224</v>
      </c>
      <c r="C16" s="31" t="s">
        <v>228</v>
      </c>
      <c r="D16" s="31" t="s">
        <v>350</v>
      </c>
      <c r="E16" s="45" t="str">
        <f t="shared" si="0"/>
        <v>2.003BODY^^Y</v>
      </c>
    </row>
    <row r="17" spans="1:5">
      <c r="A17" s="33" t="s">
        <v>235</v>
      </c>
      <c r="B17" s="31" t="s">
        <v>225</v>
      </c>
      <c r="C17" s="31" t="s">
        <v>225</v>
      </c>
      <c r="D17" s="31"/>
      <c r="E17" s="45" t="str">
        <f t="shared" si="0"/>
        <v/>
      </c>
    </row>
    <row r="18" spans="1:5" ht="13.5" thickBot="1">
      <c r="A18" s="41" t="s">
        <v>236</v>
      </c>
      <c r="B18" s="42" t="s">
        <v>7</v>
      </c>
      <c r="C18" s="14" t="s">
        <v>73</v>
      </c>
      <c r="D18" s="57" t="s">
        <v>350</v>
      </c>
      <c r="E18" s="45" t="str">
        <f t="shared" si="0"/>
        <v>2.004BODY^^Y</v>
      </c>
    </row>
    <row r="19" spans="1:5">
      <c r="A19" s="29" t="s">
        <v>275</v>
      </c>
      <c r="B19" s="6" t="s">
        <v>25</v>
      </c>
      <c r="C19" s="6" t="s">
        <v>74</v>
      </c>
      <c r="D19" s="6" t="s">
        <v>351</v>
      </c>
      <c r="E19" s="45" t="str">
        <f t="shared" si="0"/>
        <v>3.001CHAS^^2.8+0.3 = 3.1</v>
      </c>
    </row>
    <row r="20" spans="1:5">
      <c r="A20" s="29" t="s">
        <v>276</v>
      </c>
      <c r="B20" s="6" t="s">
        <v>26</v>
      </c>
      <c r="C20" s="6" t="s">
        <v>75</v>
      </c>
      <c r="D20" s="32" t="s">
        <v>352</v>
      </c>
      <c r="E20" s="45" t="str">
        <f t="shared" si="0"/>
        <v>3.002CHAS^^2.1+0.3=2.4</v>
      </c>
    </row>
    <row r="21" spans="1:5">
      <c r="A21" s="10" t="s">
        <v>277</v>
      </c>
      <c r="B21" s="6" t="s">
        <v>23</v>
      </c>
      <c r="C21" s="6" t="s">
        <v>76</v>
      </c>
      <c r="D21" s="32" t="s">
        <v>364</v>
      </c>
      <c r="E21" s="45" t="str">
        <f t="shared" si="0"/>
        <v>3.003CHAS^^2.4+0.3 = 2.7</v>
      </c>
    </row>
    <row r="22" spans="1:5">
      <c r="A22" s="10" t="s">
        <v>278</v>
      </c>
      <c r="B22" s="6" t="s">
        <v>24</v>
      </c>
      <c r="C22" s="6" t="s">
        <v>77</v>
      </c>
      <c r="D22" s="6" t="s">
        <v>352</v>
      </c>
      <c r="E22" s="45" t="str">
        <f t="shared" si="0"/>
        <v>3.004CHAS^^2.1+0.3=2.4</v>
      </c>
    </row>
    <row r="23" spans="1:5">
      <c r="A23" s="10" t="s">
        <v>279</v>
      </c>
      <c r="B23" s="6" t="s">
        <v>27</v>
      </c>
      <c r="C23" s="6" t="s">
        <v>78</v>
      </c>
      <c r="D23" s="6" t="s">
        <v>353</v>
      </c>
      <c r="E23" s="45" t="str">
        <f t="shared" si="0"/>
        <v>3.005CHAS^^205/55 R16 94V</v>
      </c>
    </row>
    <row r="24" spans="1:5">
      <c r="A24" s="10" t="s">
        <v>280</v>
      </c>
      <c r="B24" s="6" t="s">
        <v>21</v>
      </c>
      <c r="C24" s="6" t="s">
        <v>79</v>
      </c>
      <c r="D24" s="32"/>
      <c r="E24" s="45" t="str">
        <f t="shared" si="0"/>
        <v/>
      </c>
    </row>
    <row r="25" spans="1:5">
      <c r="A25" s="29" t="s">
        <v>281</v>
      </c>
      <c r="B25" s="6" t="s">
        <v>19</v>
      </c>
      <c r="C25" s="6" t="s">
        <v>80</v>
      </c>
      <c r="D25" s="6" t="s">
        <v>354</v>
      </c>
      <c r="E25" s="45" t="str">
        <f t="shared" si="0"/>
        <v>3.007CHAS^^130Nm = NOM = Groen (CHECKWAARDE = 100Nm)</v>
      </c>
    </row>
    <row r="26" spans="1:5">
      <c r="A26" s="10" t="s">
        <v>282</v>
      </c>
      <c r="B26" s="32" t="s">
        <v>211</v>
      </c>
      <c r="C26" s="6" t="s">
        <v>11</v>
      </c>
      <c r="D26" s="32" t="s">
        <v>363</v>
      </c>
      <c r="E26" s="45" t="str">
        <f t="shared" si="0"/>
        <v>3.008CHAS^^N</v>
      </c>
    </row>
    <row r="27" spans="1:5">
      <c r="A27" s="10" t="s">
        <v>283</v>
      </c>
      <c r="B27" s="6" t="s">
        <v>13</v>
      </c>
      <c r="C27" s="6" t="s">
        <v>13</v>
      </c>
      <c r="D27" s="32" t="s">
        <v>363</v>
      </c>
      <c r="E27" s="45" t="str">
        <f t="shared" si="0"/>
        <v>3.009CHAS^^N</v>
      </c>
    </row>
    <row r="28" spans="1:5">
      <c r="A28" s="10" t="s">
        <v>284</v>
      </c>
      <c r="B28" s="6" t="s">
        <v>22</v>
      </c>
      <c r="C28" s="6" t="s">
        <v>81</v>
      </c>
      <c r="D28" s="32" t="s">
        <v>363</v>
      </c>
      <c r="E28" s="45" t="str">
        <f t="shared" si="0"/>
        <v>3.010CHAS^^N</v>
      </c>
    </row>
    <row r="29" spans="1:5">
      <c r="A29" s="10" t="s">
        <v>285</v>
      </c>
      <c r="B29" s="6" t="s">
        <v>10</v>
      </c>
      <c r="C29" s="6" t="s">
        <v>82</v>
      </c>
      <c r="D29" s="6"/>
      <c r="E29" s="45" t="str">
        <f t="shared" si="0"/>
        <v/>
      </c>
    </row>
    <row r="30" spans="1:5">
      <c r="A30" s="10" t="s">
        <v>286</v>
      </c>
      <c r="B30" s="6" t="s">
        <v>15</v>
      </c>
      <c r="C30" s="6" t="s">
        <v>83</v>
      </c>
      <c r="D30" s="6" t="s">
        <v>355</v>
      </c>
      <c r="E30" s="45" t="str">
        <f t="shared" si="0"/>
        <v>3.012CHAS^^EPAS</v>
      </c>
    </row>
    <row r="31" spans="1:5">
      <c r="A31" s="10" t="s">
        <v>287</v>
      </c>
      <c r="B31" s="6" t="s">
        <v>12</v>
      </c>
      <c r="C31" s="6" t="s">
        <v>84</v>
      </c>
      <c r="D31" s="32"/>
      <c r="E31" s="45" t="str">
        <f t="shared" si="0"/>
        <v/>
      </c>
    </row>
    <row r="32" spans="1:5">
      <c r="A32" s="10" t="s">
        <v>288</v>
      </c>
      <c r="B32" s="6" t="s">
        <v>9</v>
      </c>
      <c r="C32" s="6" t="s">
        <v>85</v>
      </c>
      <c r="D32" s="6" t="s">
        <v>356</v>
      </c>
      <c r="E32" s="45" t="str">
        <f t="shared" si="0"/>
        <v>3.014CHAS^^ISO 4925 CLASS 6, DOT4</v>
      </c>
    </row>
    <row r="33" spans="1:5">
      <c r="A33" s="10" t="s">
        <v>289</v>
      </c>
      <c r="B33" s="6" t="s">
        <v>18</v>
      </c>
      <c r="C33" s="6" t="s">
        <v>86</v>
      </c>
      <c r="D33" s="6" t="s">
        <v>350</v>
      </c>
      <c r="E33" s="45" t="str">
        <f t="shared" si="0"/>
        <v>3.015CHAS^^Y</v>
      </c>
    </row>
    <row r="34" spans="1:5">
      <c r="A34" s="10" t="s">
        <v>290</v>
      </c>
      <c r="B34" s="32" t="s">
        <v>8</v>
      </c>
      <c r="C34" s="32" t="s">
        <v>8</v>
      </c>
      <c r="D34" s="32" t="s">
        <v>350</v>
      </c>
      <c r="E34" s="45" t="str">
        <f t="shared" si="0"/>
        <v>3.016CHAS^^Y</v>
      </c>
    </row>
    <row r="35" spans="1:5">
      <c r="A35" s="29" t="s">
        <v>291</v>
      </c>
      <c r="B35" s="6" t="s">
        <v>14</v>
      </c>
      <c r="C35" s="6" t="s">
        <v>87</v>
      </c>
      <c r="D35" s="6" t="s">
        <v>355</v>
      </c>
      <c r="E35" s="45" t="str">
        <f t="shared" si="0"/>
        <v>3.017CHAS^^EPAS</v>
      </c>
    </row>
    <row r="36" spans="1:5">
      <c r="A36" s="10" t="s">
        <v>292</v>
      </c>
      <c r="B36" s="6" t="s">
        <v>20</v>
      </c>
      <c r="C36" s="6" t="s">
        <v>20</v>
      </c>
      <c r="D36" s="6" t="s">
        <v>350</v>
      </c>
      <c r="E36" s="45" t="str">
        <f t="shared" si="0"/>
        <v>3.018CHAS^^Y</v>
      </c>
    </row>
    <row r="37" spans="1:5">
      <c r="A37" s="29" t="s">
        <v>293</v>
      </c>
      <c r="B37" s="6" t="s">
        <v>17</v>
      </c>
      <c r="C37" s="6" t="s">
        <v>88</v>
      </c>
      <c r="D37" s="32" t="s">
        <v>357</v>
      </c>
      <c r="E37" s="45" t="str">
        <f t="shared" si="0"/>
        <v>3.019CHAS^^A</v>
      </c>
    </row>
    <row r="38" spans="1:5">
      <c r="A38" s="10" t="s">
        <v>294</v>
      </c>
      <c r="B38" s="6" t="s">
        <v>16</v>
      </c>
      <c r="C38" s="6" t="s">
        <v>89</v>
      </c>
      <c r="D38" s="6" t="s">
        <v>358</v>
      </c>
      <c r="E38" s="45" t="str">
        <f t="shared" si="0"/>
        <v>3.020CHAS^^16 "</v>
      </c>
    </row>
    <row r="39" spans="1:5">
      <c r="A39" s="10" t="s">
        <v>295</v>
      </c>
      <c r="B39" s="32" t="s">
        <v>31</v>
      </c>
      <c r="C39" s="6" t="s">
        <v>90</v>
      </c>
      <c r="D39" s="32">
        <v>-0.66</v>
      </c>
      <c r="E39" s="45" t="str">
        <f t="shared" si="0"/>
        <v>3.021CHAS^^-0,66</v>
      </c>
    </row>
    <row r="40" spans="1:5">
      <c r="A40" s="10" t="s">
        <v>296</v>
      </c>
      <c r="B40" s="6" t="s">
        <v>32</v>
      </c>
      <c r="C40" s="6" t="s">
        <v>91</v>
      </c>
      <c r="D40" s="6">
        <v>-2.16</v>
      </c>
      <c r="E40" s="45" t="str">
        <f t="shared" si="0"/>
        <v>3.022CHAS^^-2,16</v>
      </c>
    </row>
    <row r="41" spans="1:5">
      <c r="A41" s="10" t="s">
        <v>297</v>
      </c>
      <c r="B41" s="6" t="s">
        <v>33</v>
      </c>
      <c r="C41" s="6" t="s">
        <v>92</v>
      </c>
      <c r="D41" s="6">
        <v>-1.41</v>
      </c>
      <c r="E41" s="45" t="str">
        <f t="shared" si="0"/>
        <v>3.023CHAS^^-1,41</v>
      </c>
    </row>
    <row r="42" spans="1:5">
      <c r="A42" s="10" t="s">
        <v>298</v>
      </c>
      <c r="B42" s="6" t="s">
        <v>28</v>
      </c>
      <c r="C42" s="6" t="s">
        <v>93</v>
      </c>
      <c r="D42" s="6">
        <v>0.18</v>
      </c>
      <c r="E42" s="45" t="str">
        <f t="shared" si="0"/>
        <v>3.024CHAS^^0,18</v>
      </c>
    </row>
    <row r="43" spans="1:5">
      <c r="A43" s="10" t="s">
        <v>299</v>
      </c>
      <c r="B43" s="6" t="s">
        <v>29</v>
      </c>
      <c r="C43" s="6" t="s">
        <v>94</v>
      </c>
      <c r="D43" s="6">
        <v>-1.32</v>
      </c>
      <c r="E43" s="45" t="str">
        <f t="shared" si="0"/>
        <v>3.025CHAS^^-1,32</v>
      </c>
    </row>
    <row r="44" spans="1:5">
      <c r="A44" s="10" t="s">
        <v>300</v>
      </c>
      <c r="B44" s="32" t="s">
        <v>30</v>
      </c>
      <c r="C44" s="6" t="s">
        <v>95</v>
      </c>
      <c r="D44" s="6">
        <v>-0.56999999999999995</v>
      </c>
      <c r="E44" s="45" t="str">
        <f t="shared" si="0"/>
        <v>3.026CHAS^^-0,57</v>
      </c>
    </row>
    <row r="45" spans="1:5">
      <c r="A45" s="10" t="s">
        <v>301</v>
      </c>
      <c r="B45" s="6" t="s">
        <v>34</v>
      </c>
      <c r="C45" s="6" t="s">
        <v>96</v>
      </c>
      <c r="D45" s="6">
        <v>5.3</v>
      </c>
      <c r="E45" s="45" t="str">
        <f t="shared" si="0"/>
        <v>3.027CHAS^^5,3</v>
      </c>
    </row>
    <row r="46" spans="1:5">
      <c r="A46" s="10" t="s">
        <v>302</v>
      </c>
      <c r="B46" s="6" t="s">
        <v>35</v>
      </c>
      <c r="C46" s="6" t="s">
        <v>97</v>
      </c>
      <c r="D46" s="6">
        <v>3.3</v>
      </c>
      <c r="E46" s="45" t="str">
        <f t="shared" si="0"/>
        <v>3.028CHAS^^3,3</v>
      </c>
    </row>
    <row r="47" spans="1:5">
      <c r="A47" s="29" t="s">
        <v>303</v>
      </c>
      <c r="B47" s="6" t="s">
        <v>36</v>
      </c>
      <c r="C47" s="6" t="s">
        <v>98</v>
      </c>
      <c r="D47" s="6">
        <v>4.3</v>
      </c>
      <c r="E47" s="45" t="str">
        <f t="shared" si="0"/>
        <v>3.029CHAS^^4,3</v>
      </c>
    </row>
    <row r="48" spans="1:5">
      <c r="A48" s="10" t="s">
        <v>304</v>
      </c>
      <c r="B48" s="6" t="s">
        <v>40</v>
      </c>
      <c r="C48" s="6" t="s">
        <v>99</v>
      </c>
      <c r="D48" s="6">
        <v>0.57999999999999996</v>
      </c>
      <c r="E48" s="45" t="str">
        <f t="shared" si="0"/>
        <v>3.030CHAS^^0,58</v>
      </c>
    </row>
    <row r="49" spans="1:5">
      <c r="A49" s="29" t="s">
        <v>305</v>
      </c>
      <c r="B49" s="6" t="s">
        <v>41</v>
      </c>
      <c r="C49" s="6" t="s">
        <v>100</v>
      </c>
      <c r="D49" s="6">
        <v>0.18</v>
      </c>
      <c r="E49" s="45" t="str">
        <f t="shared" si="0"/>
        <v>3.031CHAS^^0,18</v>
      </c>
    </row>
    <row r="50" spans="1:5">
      <c r="A50" s="10" t="s">
        <v>306</v>
      </c>
      <c r="B50" s="6" t="s">
        <v>42</v>
      </c>
      <c r="C50" s="6" t="s">
        <v>101</v>
      </c>
      <c r="D50" s="6">
        <v>0.38</v>
      </c>
      <c r="E50" s="45" t="str">
        <f t="shared" si="0"/>
        <v>3.032CHAS^^0,38</v>
      </c>
    </row>
    <row r="51" spans="1:5">
      <c r="A51" s="29" t="s">
        <v>307</v>
      </c>
      <c r="B51" s="6" t="s">
        <v>37</v>
      </c>
      <c r="C51" s="6" t="s">
        <v>102</v>
      </c>
      <c r="D51" s="6">
        <v>0.3</v>
      </c>
      <c r="E51" s="45" t="str">
        <f t="shared" si="0"/>
        <v>3.033CHAS^^0,3</v>
      </c>
    </row>
    <row r="52" spans="1:5">
      <c r="A52" s="10" t="s">
        <v>308</v>
      </c>
      <c r="B52" s="6" t="s">
        <v>38</v>
      </c>
      <c r="C52" s="6" t="s">
        <v>103</v>
      </c>
      <c r="D52" s="6">
        <v>-0.1</v>
      </c>
      <c r="E52" s="45" t="str">
        <f t="shared" si="0"/>
        <v>3.034CHAS^^-0,1</v>
      </c>
    </row>
    <row r="53" spans="1:5" ht="13.5" thickBot="1">
      <c r="A53" s="11" t="s">
        <v>309</v>
      </c>
      <c r="B53" s="12" t="s">
        <v>39</v>
      </c>
      <c r="C53" s="12" t="s">
        <v>104</v>
      </c>
      <c r="D53" s="12">
        <v>0.1</v>
      </c>
      <c r="E53" s="45" t="str">
        <f t="shared" si="0"/>
        <v>3.035CHAS^^0,1</v>
      </c>
    </row>
    <row r="54" spans="1:5">
      <c r="A54" s="30" t="s">
        <v>240</v>
      </c>
      <c r="B54" s="15" t="s">
        <v>44</v>
      </c>
      <c r="C54" s="15" t="s">
        <v>105</v>
      </c>
      <c r="D54" s="15" t="s">
        <v>350</v>
      </c>
      <c r="E54" s="45" t="str">
        <f t="shared" si="0"/>
        <v>4.001ENG^^Y</v>
      </c>
    </row>
    <row r="55" spans="1:5">
      <c r="A55" s="33" t="s">
        <v>241</v>
      </c>
      <c r="B55" s="7" t="s">
        <v>156</v>
      </c>
      <c r="C55" s="7" t="s">
        <v>106</v>
      </c>
      <c r="D55" s="7"/>
      <c r="E55" s="45" t="str">
        <f t="shared" si="0"/>
        <v/>
      </c>
    </row>
    <row r="56" spans="1:5">
      <c r="A56" s="13" t="s">
        <v>242</v>
      </c>
      <c r="B56" s="7" t="s">
        <v>157</v>
      </c>
      <c r="C56" s="7" t="s">
        <v>107</v>
      </c>
      <c r="D56" s="7"/>
      <c r="E56" s="45" t="str">
        <f t="shared" si="0"/>
        <v/>
      </c>
    </row>
    <row r="57" spans="1:5">
      <c r="A57" s="13" t="s">
        <v>243</v>
      </c>
      <c r="B57" s="7" t="s">
        <v>158</v>
      </c>
      <c r="C57" s="7" t="s">
        <v>108</v>
      </c>
      <c r="D57" s="7"/>
      <c r="E57" s="45" t="str">
        <f t="shared" si="0"/>
        <v/>
      </c>
    </row>
    <row r="58" spans="1:5">
      <c r="A58" s="33" t="s">
        <v>244</v>
      </c>
      <c r="B58" s="31" t="s">
        <v>159</v>
      </c>
      <c r="C58" s="7" t="s">
        <v>109</v>
      </c>
      <c r="D58" s="7"/>
      <c r="E58" s="45" t="str">
        <f t="shared" si="0"/>
        <v/>
      </c>
    </row>
    <row r="59" spans="1:5">
      <c r="A59" s="33" t="s">
        <v>245</v>
      </c>
      <c r="B59" s="7" t="s">
        <v>160</v>
      </c>
      <c r="C59" s="7" t="s">
        <v>110</v>
      </c>
      <c r="D59" s="7"/>
      <c r="E59" s="45" t="str">
        <f t="shared" si="0"/>
        <v/>
      </c>
    </row>
    <row r="60" spans="1:5">
      <c r="A60" s="13" t="s">
        <v>246</v>
      </c>
      <c r="B60" s="7" t="s">
        <v>161</v>
      </c>
      <c r="C60" s="7" t="s">
        <v>111</v>
      </c>
      <c r="D60" s="31"/>
      <c r="E60" s="45" t="str">
        <f t="shared" si="0"/>
        <v/>
      </c>
    </row>
    <row r="61" spans="1:5">
      <c r="A61" s="13" t="s">
        <v>247</v>
      </c>
      <c r="B61" s="7" t="s">
        <v>162</v>
      </c>
      <c r="C61" s="7" t="s">
        <v>112</v>
      </c>
      <c r="D61" s="31"/>
      <c r="E61" s="45" t="str">
        <f t="shared" si="0"/>
        <v/>
      </c>
    </row>
    <row r="62" spans="1:5">
      <c r="A62" s="13" t="s">
        <v>248</v>
      </c>
      <c r="B62" s="7" t="s">
        <v>163</v>
      </c>
      <c r="C62" s="7" t="s">
        <v>113</v>
      </c>
      <c r="D62" s="31"/>
      <c r="E62" s="45" t="str">
        <f t="shared" si="0"/>
        <v/>
      </c>
    </row>
    <row r="63" spans="1:5">
      <c r="A63" s="13" t="s">
        <v>249</v>
      </c>
      <c r="B63" s="7" t="s">
        <v>164</v>
      </c>
      <c r="C63" s="7" t="s">
        <v>114</v>
      </c>
      <c r="D63" s="31"/>
      <c r="E63" s="45" t="str">
        <f t="shared" si="0"/>
        <v/>
      </c>
    </row>
    <row r="64" spans="1:5">
      <c r="A64" s="33" t="s">
        <v>250</v>
      </c>
      <c r="B64" s="7" t="s">
        <v>165</v>
      </c>
      <c r="C64" s="7" t="s">
        <v>115</v>
      </c>
      <c r="D64" s="31"/>
      <c r="E64" s="45" t="str">
        <f t="shared" si="0"/>
        <v/>
      </c>
    </row>
    <row r="65" spans="1:5">
      <c r="A65" s="33" t="s">
        <v>251</v>
      </c>
      <c r="B65" s="7" t="s">
        <v>166</v>
      </c>
      <c r="C65" s="7" t="s">
        <v>116</v>
      </c>
      <c r="D65" s="31"/>
      <c r="E65" s="45" t="str">
        <f t="shared" si="0"/>
        <v/>
      </c>
    </row>
    <row r="66" spans="1:5">
      <c r="A66" s="33" t="s">
        <v>252</v>
      </c>
      <c r="B66" s="7" t="s">
        <v>167</v>
      </c>
      <c r="C66" s="7" t="s">
        <v>117</v>
      </c>
      <c r="D66" s="31"/>
      <c r="E66" s="45" t="str">
        <f t="shared" si="0"/>
        <v/>
      </c>
    </row>
    <row r="67" spans="1:5">
      <c r="A67" s="33" t="s">
        <v>253</v>
      </c>
      <c r="B67" s="7" t="s">
        <v>168</v>
      </c>
      <c r="C67" s="7" t="s">
        <v>118</v>
      </c>
      <c r="D67" s="31"/>
      <c r="E67" s="45" t="str">
        <f t="shared" ref="E67:E107" si="1">IF(D67&lt;&gt;"",A67&amp;"^^"&amp;D67,"")</f>
        <v/>
      </c>
    </row>
    <row r="68" spans="1:5">
      <c r="A68" s="33" t="s">
        <v>254</v>
      </c>
      <c r="B68" s="31" t="s">
        <v>169</v>
      </c>
      <c r="C68" s="7" t="s">
        <v>119</v>
      </c>
      <c r="D68" s="31"/>
      <c r="E68" s="45" t="str">
        <f t="shared" si="1"/>
        <v/>
      </c>
    </row>
    <row r="69" spans="1:5">
      <c r="A69" s="33" t="s">
        <v>255</v>
      </c>
      <c r="B69" s="31" t="s">
        <v>170</v>
      </c>
      <c r="C69" s="7" t="s">
        <v>120</v>
      </c>
      <c r="D69" s="31"/>
      <c r="E69" s="45" t="str">
        <f t="shared" si="1"/>
        <v/>
      </c>
    </row>
    <row r="70" spans="1:5">
      <c r="A70" s="33" t="s">
        <v>256</v>
      </c>
      <c r="B70" s="7" t="s">
        <v>171</v>
      </c>
      <c r="C70" s="7" t="s">
        <v>121</v>
      </c>
      <c r="D70" s="31"/>
      <c r="E70" s="45" t="str">
        <f t="shared" si="1"/>
        <v/>
      </c>
    </row>
    <row r="71" spans="1:5">
      <c r="A71" s="13" t="s">
        <v>257</v>
      </c>
      <c r="B71" s="7" t="s">
        <v>50</v>
      </c>
      <c r="C71" s="7" t="s">
        <v>123</v>
      </c>
      <c r="D71" s="7" t="s">
        <v>350</v>
      </c>
      <c r="E71" s="45" t="str">
        <f t="shared" si="1"/>
        <v>4.019ENG^^Y</v>
      </c>
    </row>
    <row r="72" spans="1:5">
      <c r="A72" s="33" t="s">
        <v>310</v>
      </c>
      <c r="B72" s="7" t="s">
        <v>45</v>
      </c>
      <c r="C72" s="7" t="s">
        <v>124</v>
      </c>
      <c r="D72" s="7" t="s">
        <v>359</v>
      </c>
      <c r="E72" s="45" t="str">
        <f t="shared" si="1"/>
        <v>4.020ENG^^WSS-M97B44-D (ROOD)</v>
      </c>
    </row>
    <row r="73" spans="1:5">
      <c r="A73" s="33" t="s">
        <v>311</v>
      </c>
      <c r="B73" s="7" t="s">
        <v>56</v>
      </c>
      <c r="C73" s="7" t="s">
        <v>125</v>
      </c>
      <c r="D73" s="31" t="s">
        <v>365</v>
      </c>
      <c r="E73" s="45" t="str">
        <f t="shared" si="1"/>
        <v>4.021ENG^^170 Nm</v>
      </c>
    </row>
    <row r="74" spans="1:5">
      <c r="A74" s="33" t="s">
        <v>312</v>
      </c>
      <c r="B74" s="7" t="s">
        <v>57</v>
      </c>
      <c r="C74" s="7" t="s">
        <v>126</v>
      </c>
      <c r="D74" s="31" t="s">
        <v>366</v>
      </c>
      <c r="E74" s="45" t="str">
        <f t="shared" si="1"/>
        <v>4.022ENG^^1500-4000</v>
      </c>
    </row>
    <row r="75" spans="1:5">
      <c r="A75" s="33" t="s">
        <v>313</v>
      </c>
      <c r="B75" s="7" t="s">
        <v>55</v>
      </c>
      <c r="C75" s="7" t="s">
        <v>127</v>
      </c>
      <c r="D75" s="7">
        <v>6500</v>
      </c>
      <c r="E75" s="45" t="str">
        <f t="shared" si="1"/>
        <v>4.023ENG^^6500</v>
      </c>
    </row>
    <row r="76" spans="1:5">
      <c r="A76" s="33" t="s">
        <v>314</v>
      </c>
      <c r="B76" s="7" t="s">
        <v>54</v>
      </c>
      <c r="C76" s="7" t="s">
        <v>128</v>
      </c>
      <c r="D76" s="7">
        <v>6675</v>
      </c>
      <c r="E76" s="45" t="str">
        <f t="shared" si="1"/>
        <v>4.024ENG^^6675</v>
      </c>
    </row>
    <row r="77" spans="1:5">
      <c r="A77" s="33" t="s">
        <v>315</v>
      </c>
      <c r="B77" s="7" t="s">
        <v>53</v>
      </c>
      <c r="C77" s="7" t="s">
        <v>129</v>
      </c>
      <c r="D77" s="7">
        <v>6000</v>
      </c>
      <c r="E77" s="45" t="str">
        <f t="shared" si="1"/>
        <v>4.025ENG^^6000</v>
      </c>
    </row>
    <row r="78" spans="1:5">
      <c r="A78" s="33" t="s">
        <v>316</v>
      </c>
      <c r="B78" s="31" t="s">
        <v>46</v>
      </c>
      <c r="C78" s="7" t="s">
        <v>130</v>
      </c>
      <c r="D78" s="31"/>
      <c r="E78" s="45" t="str">
        <f t="shared" si="1"/>
        <v/>
      </c>
    </row>
    <row r="79" spans="1:5">
      <c r="A79" s="33" t="s">
        <v>258</v>
      </c>
      <c r="B79" s="31" t="s">
        <v>49</v>
      </c>
      <c r="C79" s="7" t="s">
        <v>131</v>
      </c>
      <c r="D79" s="31" t="s">
        <v>367</v>
      </c>
      <c r="E79" s="45" t="str">
        <f t="shared" si="1"/>
        <v>4.027ENG^^9W7E-6714-AA</v>
      </c>
    </row>
    <row r="80" spans="1:5">
      <c r="A80" s="33" t="s">
        <v>317</v>
      </c>
      <c r="B80" s="31" t="s">
        <v>172</v>
      </c>
      <c r="C80" s="7" t="s">
        <v>132</v>
      </c>
      <c r="D80" s="31"/>
      <c r="E80" s="45" t="str">
        <f t="shared" si="1"/>
        <v/>
      </c>
    </row>
    <row r="81" spans="1:5">
      <c r="A81" s="33" t="s">
        <v>259</v>
      </c>
      <c r="B81" s="31" t="s">
        <v>47</v>
      </c>
      <c r="C81" s="7" t="s">
        <v>133</v>
      </c>
      <c r="D81" s="31"/>
      <c r="E81" s="45" t="str">
        <f t="shared" si="1"/>
        <v/>
      </c>
    </row>
    <row r="82" spans="1:5">
      <c r="A82" s="33" t="s">
        <v>260</v>
      </c>
      <c r="B82" s="31" t="s">
        <v>48</v>
      </c>
      <c r="C82" s="7" t="s">
        <v>134</v>
      </c>
      <c r="D82" s="31" t="s">
        <v>509</v>
      </c>
      <c r="E82" s="45" t="str">
        <f t="shared" si="1"/>
        <v>4.030ENG^^WSS-M2C948-A 5W20</v>
      </c>
    </row>
    <row r="83" spans="1:5">
      <c r="A83" s="33" t="s">
        <v>261</v>
      </c>
      <c r="B83" s="7" t="s">
        <v>43</v>
      </c>
      <c r="C83" s="31" t="s">
        <v>58</v>
      </c>
      <c r="D83" s="31" t="s">
        <v>370</v>
      </c>
      <c r="E83" s="45" t="str">
        <f t="shared" si="1"/>
        <v>4.031ENG^^JA / STAAL:JA  / VERZ.: NEEN</v>
      </c>
    </row>
    <row r="84" spans="1:5">
      <c r="A84" s="33" t="s">
        <v>262</v>
      </c>
      <c r="B84" s="7" t="s">
        <v>59</v>
      </c>
      <c r="C84" s="7" t="s">
        <v>135</v>
      </c>
      <c r="D84" s="7" t="s">
        <v>350</v>
      </c>
      <c r="E84" s="45" t="str">
        <f t="shared" si="1"/>
        <v>4.032ENG^^Y</v>
      </c>
    </row>
    <row r="85" spans="1:5">
      <c r="A85" s="33" t="s">
        <v>263</v>
      </c>
      <c r="B85" s="7" t="s">
        <v>60</v>
      </c>
      <c r="C85" s="7" t="s">
        <v>136</v>
      </c>
      <c r="D85" s="7"/>
      <c r="E85" s="45" t="str">
        <f t="shared" si="1"/>
        <v/>
      </c>
    </row>
    <row r="86" spans="1:5">
      <c r="A86" s="33" t="s">
        <v>264</v>
      </c>
      <c r="B86" s="7" t="s">
        <v>237</v>
      </c>
      <c r="C86" s="7" t="s">
        <v>137</v>
      </c>
      <c r="D86" s="31"/>
      <c r="E86" s="45" t="str">
        <f t="shared" si="1"/>
        <v/>
      </c>
    </row>
    <row r="87" spans="1:5">
      <c r="A87" s="33" t="s">
        <v>265</v>
      </c>
      <c r="B87" s="31" t="s">
        <v>229</v>
      </c>
      <c r="C87" s="31" t="s">
        <v>230</v>
      </c>
      <c r="D87" s="7" t="s">
        <v>360</v>
      </c>
      <c r="E87" s="45" t="str">
        <f t="shared" si="1"/>
        <v>4.035ENG^^DET</v>
      </c>
    </row>
    <row r="88" spans="1:5" ht="13.5" thickBot="1">
      <c r="A88" s="41" t="s">
        <v>266</v>
      </c>
      <c r="B88" s="14" t="s">
        <v>52</v>
      </c>
      <c r="C88" s="14" t="s">
        <v>138</v>
      </c>
      <c r="D88" s="57" t="s">
        <v>368</v>
      </c>
      <c r="E88" s="45" t="str">
        <f t="shared" si="1"/>
        <v>4.036ENG^^840-860</v>
      </c>
    </row>
    <row r="89" spans="1:5">
      <c r="A89" s="50" t="s">
        <v>318</v>
      </c>
      <c r="B89" s="51" t="s">
        <v>68</v>
      </c>
      <c r="C89" s="51" t="s">
        <v>139</v>
      </c>
      <c r="D89" s="52"/>
      <c r="E89" s="45" t="str">
        <f t="shared" si="1"/>
        <v/>
      </c>
    </row>
    <row r="90" spans="1:5">
      <c r="A90" s="53" t="s">
        <v>319</v>
      </c>
      <c r="B90" s="54" t="s">
        <v>63</v>
      </c>
      <c r="C90" s="54" t="s">
        <v>140</v>
      </c>
      <c r="D90" s="52"/>
      <c r="E90" s="45" t="str">
        <f t="shared" si="1"/>
        <v/>
      </c>
    </row>
    <row r="91" spans="1:5">
      <c r="A91" s="53" t="s">
        <v>320</v>
      </c>
      <c r="B91" s="54" t="s">
        <v>173</v>
      </c>
      <c r="C91" s="54" t="s">
        <v>141</v>
      </c>
      <c r="D91" s="52"/>
      <c r="E91" s="45" t="str">
        <f t="shared" si="1"/>
        <v/>
      </c>
    </row>
    <row r="92" spans="1:5">
      <c r="A92" s="53" t="s">
        <v>321</v>
      </c>
      <c r="B92" s="54" t="s">
        <v>64</v>
      </c>
      <c r="C92" s="54" t="s">
        <v>142</v>
      </c>
      <c r="D92" s="52"/>
      <c r="E92" s="45" t="str">
        <f t="shared" si="1"/>
        <v/>
      </c>
    </row>
    <row r="93" spans="1:5">
      <c r="A93" s="53" t="s">
        <v>322</v>
      </c>
      <c r="B93" s="54" t="s">
        <v>174</v>
      </c>
      <c r="C93" s="54" t="s">
        <v>143</v>
      </c>
      <c r="D93" s="52"/>
      <c r="E93" s="45" t="str">
        <f t="shared" si="1"/>
        <v/>
      </c>
    </row>
    <row r="94" spans="1:5">
      <c r="A94" s="53" t="s">
        <v>323</v>
      </c>
      <c r="B94" s="54" t="s">
        <v>175</v>
      </c>
      <c r="C94" s="54" t="s">
        <v>144</v>
      </c>
      <c r="D94" s="52"/>
      <c r="E94" s="45" t="str">
        <f t="shared" si="1"/>
        <v/>
      </c>
    </row>
    <row r="95" spans="1:5">
      <c r="A95" s="53" t="s">
        <v>324</v>
      </c>
      <c r="B95" s="54" t="s">
        <v>61</v>
      </c>
      <c r="C95" s="54" t="s">
        <v>145</v>
      </c>
      <c r="D95" s="52"/>
      <c r="E95" s="45" t="str">
        <f t="shared" si="1"/>
        <v/>
      </c>
    </row>
    <row r="96" spans="1:5">
      <c r="A96" s="55" t="s">
        <v>325</v>
      </c>
      <c r="B96" s="54" t="s">
        <v>176</v>
      </c>
      <c r="C96" s="54" t="s">
        <v>146</v>
      </c>
      <c r="D96" s="52"/>
      <c r="E96" s="45" t="str">
        <f t="shared" si="1"/>
        <v/>
      </c>
    </row>
    <row r="97" spans="1:5">
      <c r="A97" s="53" t="s">
        <v>326</v>
      </c>
      <c r="B97" s="54" t="s">
        <v>62</v>
      </c>
      <c r="C97" s="54" t="s">
        <v>147</v>
      </c>
      <c r="D97" s="52"/>
      <c r="E97" s="45" t="str">
        <f t="shared" si="1"/>
        <v/>
      </c>
    </row>
    <row r="98" spans="1:5">
      <c r="A98" s="53" t="s">
        <v>327</v>
      </c>
      <c r="B98" s="54" t="s">
        <v>65</v>
      </c>
      <c r="C98" s="54" t="s">
        <v>148</v>
      </c>
      <c r="D98" s="52"/>
      <c r="E98" s="45" t="str">
        <f t="shared" si="1"/>
        <v/>
      </c>
    </row>
    <row r="99" spans="1:5">
      <c r="A99" s="55" t="s">
        <v>328</v>
      </c>
      <c r="B99" s="54" t="s">
        <v>66</v>
      </c>
      <c r="C99" s="54" t="s">
        <v>149</v>
      </c>
      <c r="D99" s="52"/>
      <c r="E99" s="45" t="str">
        <f t="shared" si="1"/>
        <v/>
      </c>
    </row>
    <row r="100" spans="1:5">
      <c r="A100" s="53" t="s">
        <v>329</v>
      </c>
      <c r="B100" s="56" t="s">
        <v>226</v>
      </c>
      <c r="C100" s="56" t="s">
        <v>227</v>
      </c>
      <c r="D100" s="52"/>
      <c r="E100" s="45" t="str">
        <f t="shared" si="1"/>
        <v/>
      </c>
    </row>
    <row r="101" spans="1:5">
      <c r="A101" s="53" t="s">
        <v>330</v>
      </c>
      <c r="B101" s="54" t="s">
        <v>69</v>
      </c>
      <c r="C101" s="54" t="s">
        <v>150</v>
      </c>
      <c r="D101" s="52"/>
      <c r="E101" s="45" t="str">
        <f t="shared" si="1"/>
        <v/>
      </c>
    </row>
    <row r="102" spans="1:5">
      <c r="A102" s="53" t="s">
        <v>331</v>
      </c>
      <c r="B102" s="54" t="s">
        <v>70</v>
      </c>
      <c r="C102" s="54" t="s">
        <v>151</v>
      </c>
      <c r="D102" s="52"/>
      <c r="E102" s="45" t="str">
        <f t="shared" si="1"/>
        <v/>
      </c>
    </row>
    <row r="103" spans="1:5">
      <c r="A103" s="53" t="s">
        <v>332</v>
      </c>
      <c r="B103" s="52" t="s">
        <v>343</v>
      </c>
      <c r="C103" s="54" t="s">
        <v>152</v>
      </c>
      <c r="D103" s="52"/>
      <c r="E103" s="45" t="str">
        <f t="shared" si="1"/>
        <v/>
      </c>
    </row>
    <row r="104" spans="1:5">
      <c r="A104" s="53" t="s">
        <v>333</v>
      </c>
      <c r="B104" s="52" t="s">
        <v>344</v>
      </c>
      <c r="C104" s="54" t="s">
        <v>153</v>
      </c>
      <c r="D104" s="52" t="s">
        <v>667</v>
      </c>
      <c r="E104" s="45" t="str">
        <f t="shared" si="1"/>
        <v>5.016TRAN^^PLUG</v>
      </c>
    </row>
    <row r="105" spans="1:5">
      <c r="A105" s="53" t="s">
        <v>334</v>
      </c>
      <c r="B105" s="52" t="s">
        <v>345</v>
      </c>
      <c r="C105" s="54" t="s">
        <v>154</v>
      </c>
      <c r="D105" s="52" t="s">
        <v>510</v>
      </c>
      <c r="E105" s="45" t="str">
        <f t="shared" si="1"/>
        <v>5.017TRAN^^WSS-M2C938-A</v>
      </c>
    </row>
    <row r="106" spans="1:5">
      <c r="A106" s="53" t="s">
        <v>335</v>
      </c>
      <c r="B106" s="52" t="s">
        <v>346</v>
      </c>
      <c r="C106" s="54" t="s">
        <v>231</v>
      </c>
      <c r="D106" s="52"/>
      <c r="E106" s="45" t="str">
        <f t="shared" si="1"/>
        <v/>
      </c>
    </row>
    <row r="107" spans="1:5">
      <c r="A107" s="53" t="s">
        <v>336</v>
      </c>
      <c r="B107" s="54" t="s">
        <v>67</v>
      </c>
      <c r="C107" s="54" t="s">
        <v>155</v>
      </c>
      <c r="D107" s="52"/>
      <c r="E107" s="45" t="str">
        <f t="shared" si="1"/>
        <v/>
      </c>
    </row>
    <row r="108" spans="1:5">
      <c r="E108" s="59" t="s">
        <v>511</v>
      </c>
    </row>
    <row r="109" spans="1:5">
      <c r="E109" s="59" t="s">
        <v>512</v>
      </c>
    </row>
    <row r="110" spans="1:5">
      <c r="E110" s="60" t="s">
        <v>513</v>
      </c>
    </row>
    <row r="111" spans="1:5">
      <c r="E111" s="60" t="s">
        <v>514</v>
      </c>
    </row>
    <row r="112" spans="1:5">
      <c r="E112" s="60" t="s">
        <v>371</v>
      </c>
    </row>
    <row r="113" spans="5:5">
      <c r="E113" s="60" t="s">
        <v>515</v>
      </c>
    </row>
    <row r="114" spans="5:5">
      <c r="E114" s="60" t="s">
        <v>516</v>
      </c>
    </row>
    <row r="115" spans="5:5">
      <c r="E115" s="61" t="s">
        <v>372</v>
      </c>
    </row>
    <row r="116" spans="5:5">
      <c r="E116" s="60" t="s">
        <v>373</v>
      </c>
    </row>
    <row r="117" spans="5:5">
      <c r="E117" s="60" t="s">
        <v>399</v>
      </c>
    </row>
    <row r="118" spans="5:5">
      <c r="E118" s="60" t="s">
        <v>400</v>
      </c>
    </row>
    <row r="119" spans="5:5">
      <c r="E119" s="59" t="s">
        <v>401</v>
      </c>
    </row>
    <row r="120" spans="5:5">
      <c r="E120" s="59" t="s">
        <v>402</v>
      </c>
    </row>
    <row r="121" spans="5:5">
      <c r="E121" s="59" t="s">
        <v>403</v>
      </c>
    </row>
    <row r="122" spans="5:5">
      <c r="E122" s="59" t="s">
        <v>517</v>
      </c>
    </row>
    <row r="123" spans="5:5">
      <c r="E123" s="59" t="s">
        <v>518</v>
      </c>
    </row>
    <row r="124" spans="5:5">
      <c r="E124" s="59" t="s">
        <v>404</v>
      </c>
    </row>
    <row r="125" spans="5:5">
      <c r="E125" s="59" t="s">
        <v>519</v>
      </c>
    </row>
    <row r="126" spans="5:5">
      <c r="E126" s="59" t="s">
        <v>520</v>
      </c>
    </row>
    <row r="127" spans="5:5">
      <c r="E127" s="59" t="s">
        <v>405</v>
      </c>
    </row>
    <row r="128" spans="5:5">
      <c r="E128" s="59" t="s">
        <v>521</v>
      </c>
    </row>
    <row r="129" spans="5:5">
      <c r="E129" s="59" t="s">
        <v>522</v>
      </c>
    </row>
    <row r="130" spans="5:5">
      <c r="E130" s="59" t="s">
        <v>523</v>
      </c>
    </row>
    <row r="131" spans="5:5">
      <c r="E131" s="59" t="s">
        <v>374</v>
      </c>
    </row>
    <row r="132" spans="5:5">
      <c r="E132" s="59" t="s">
        <v>524</v>
      </c>
    </row>
    <row r="133" spans="5:5">
      <c r="E133" s="59" t="s">
        <v>525</v>
      </c>
    </row>
    <row r="134" spans="5:5">
      <c r="E134" s="59" t="s">
        <v>406</v>
      </c>
    </row>
    <row r="135" spans="5:5">
      <c r="E135" s="59" t="s">
        <v>407</v>
      </c>
    </row>
    <row r="136" spans="5:5">
      <c r="E136" s="59" t="s">
        <v>526</v>
      </c>
    </row>
    <row r="137" spans="5:5">
      <c r="E137" s="59" t="s">
        <v>408</v>
      </c>
    </row>
    <row r="138" spans="5:5">
      <c r="E138" s="59" t="s">
        <v>409</v>
      </c>
    </row>
    <row r="139" spans="5:5">
      <c r="E139" s="59" t="s">
        <v>410</v>
      </c>
    </row>
    <row r="140" spans="5:5">
      <c r="E140" s="59" t="s">
        <v>411</v>
      </c>
    </row>
    <row r="141" spans="5:5">
      <c r="E141" s="59" t="s">
        <v>412</v>
      </c>
    </row>
    <row r="142" spans="5:5">
      <c r="E142" s="59" t="s">
        <v>527</v>
      </c>
    </row>
    <row r="143" spans="5:5">
      <c r="E143" s="59" t="s">
        <v>528</v>
      </c>
    </row>
    <row r="144" spans="5:5">
      <c r="E144" s="59" t="s">
        <v>529</v>
      </c>
    </row>
    <row r="145" spans="5:5">
      <c r="E145" s="59" t="s">
        <v>530</v>
      </c>
    </row>
    <row r="146" spans="5:5">
      <c r="E146" s="59" t="s">
        <v>531</v>
      </c>
    </row>
    <row r="147" spans="5:5">
      <c r="E147" s="59" t="s">
        <v>375</v>
      </c>
    </row>
    <row r="148" spans="5:5">
      <c r="E148" s="59" t="s">
        <v>532</v>
      </c>
    </row>
    <row r="149" spans="5:5">
      <c r="E149" s="59" t="s">
        <v>376</v>
      </c>
    </row>
    <row r="150" spans="5:5">
      <c r="E150" s="59" t="s">
        <v>377</v>
      </c>
    </row>
    <row r="151" spans="5:5">
      <c r="E151" s="59" t="s">
        <v>413</v>
      </c>
    </row>
    <row r="152" spans="5:5">
      <c r="E152" s="59" t="s">
        <v>533</v>
      </c>
    </row>
    <row r="153" spans="5:5">
      <c r="E153" s="59" t="s">
        <v>414</v>
      </c>
    </row>
    <row r="154" spans="5:5">
      <c r="E154" s="59" t="s">
        <v>534</v>
      </c>
    </row>
    <row r="155" spans="5:5">
      <c r="E155" s="59" t="s">
        <v>535</v>
      </c>
    </row>
    <row r="156" spans="5:5">
      <c r="E156" s="59" t="s">
        <v>536</v>
      </c>
    </row>
    <row r="157" spans="5:5">
      <c r="E157" s="59" t="s">
        <v>537</v>
      </c>
    </row>
    <row r="158" spans="5:5">
      <c r="E158" s="59" t="s">
        <v>538</v>
      </c>
    </row>
    <row r="159" spans="5:5">
      <c r="E159" s="59" t="s">
        <v>539</v>
      </c>
    </row>
    <row r="160" spans="5:5">
      <c r="E160" s="59" t="s">
        <v>540</v>
      </c>
    </row>
    <row r="161" spans="5:5">
      <c r="E161" s="59" t="s">
        <v>541</v>
      </c>
    </row>
    <row r="162" spans="5:5">
      <c r="E162" s="59" t="s">
        <v>542</v>
      </c>
    </row>
    <row r="163" spans="5:5">
      <c r="E163" s="59" t="s">
        <v>543</v>
      </c>
    </row>
    <row r="164" spans="5:5">
      <c r="E164" s="59" t="s">
        <v>544</v>
      </c>
    </row>
    <row r="165" spans="5:5">
      <c r="E165" s="59" t="s">
        <v>545</v>
      </c>
    </row>
    <row r="166" spans="5:5">
      <c r="E166" s="59" t="s">
        <v>415</v>
      </c>
    </row>
    <row r="167" spans="5:5">
      <c r="E167" s="59" t="s">
        <v>378</v>
      </c>
    </row>
    <row r="168" spans="5:5">
      <c r="E168" s="59" t="s">
        <v>416</v>
      </c>
    </row>
    <row r="169" spans="5:5">
      <c r="E169" s="59" t="s">
        <v>417</v>
      </c>
    </row>
    <row r="170" spans="5:5">
      <c r="E170" s="59" t="s">
        <v>546</v>
      </c>
    </row>
    <row r="171" spans="5:5">
      <c r="E171" s="59" t="s">
        <v>547</v>
      </c>
    </row>
    <row r="172" spans="5:5">
      <c r="E172" s="59" t="s">
        <v>548</v>
      </c>
    </row>
    <row r="173" spans="5:5">
      <c r="E173" s="59" t="s">
        <v>418</v>
      </c>
    </row>
    <row r="174" spans="5:5">
      <c r="E174" s="59" t="s">
        <v>419</v>
      </c>
    </row>
    <row r="175" spans="5:5">
      <c r="E175" s="59" t="s">
        <v>420</v>
      </c>
    </row>
    <row r="176" spans="5:5">
      <c r="E176" s="59" t="s">
        <v>421</v>
      </c>
    </row>
    <row r="177" spans="5:5">
      <c r="E177" s="59" t="s">
        <v>422</v>
      </c>
    </row>
    <row r="178" spans="5:5">
      <c r="E178" s="59" t="s">
        <v>379</v>
      </c>
    </row>
    <row r="179" spans="5:5">
      <c r="E179" s="59" t="s">
        <v>549</v>
      </c>
    </row>
    <row r="180" spans="5:5">
      <c r="E180" s="59" t="s">
        <v>550</v>
      </c>
    </row>
    <row r="181" spans="5:5">
      <c r="E181" s="59" t="s">
        <v>423</v>
      </c>
    </row>
    <row r="182" spans="5:5">
      <c r="E182" s="59" t="s">
        <v>380</v>
      </c>
    </row>
    <row r="183" spans="5:5">
      <c r="E183" s="59" t="s">
        <v>551</v>
      </c>
    </row>
    <row r="184" spans="5:5">
      <c r="E184" s="59" t="s">
        <v>552</v>
      </c>
    </row>
    <row r="185" spans="5:5">
      <c r="E185" s="59" t="s">
        <v>553</v>
      </c>
    </row>
    <row r="186" spans="5:5">
      <c r="E186" s="59" t="s">
        <v>554</v>
      </c>
    </row>
    <row r="187" spans="5:5">
      <c r="E187" s="59" t="s">
        <v>381</v>
      </c>
    </row>
    <row r="188" spans="5:5">
      <c r="E188" s="59" t="s">
        <v>555</v>
      </c>
    </row>
    <row r="189" spans="5:5">
      <c r="E189" s="59" t="s">
        <v>424</v>
      </c>
    </row>
    <row r="190" spans="5:5">
      <c r="E190" s="59" t="s">
        <v>556</v>
      </c>
    </row>
    <row r="191" spans="5:5">
      <c r="E191" s="59" t="s">
        <v>425</v>
      </c>
    </row>
    <row r="192" spans="5:5">
      <c r="E192" s="59" t="s">
        <v>426</v>
      </c>
    </row>
    <row r="193" spans="5:5">
      <c r="E193" s="59" t="s">
        <v>382</v>
      </c>
    </row>
    <row r="194" spans="5:5">
      <c r="E194" s="59" t="s">
        <v>557</v>
      </c>
    </row>
    <row r="195" spans="5:5">
      <c r="E195" s="59" t="s">
        <v>558</v>
      </c>
    </row>
    <row r="196" spans="5:5">
      <c r="E196" s="59" t="s">
        <v>559</v>
      </c>
    </row>
    <row r="197" spans="5:5">
      <c r="E197" s="59" t="s">
        <v>427</v>
      </c>
    </row>
    <row r="198" spans="5:5">
      <c r="E198" s="59" t="s">
        <v>428</v>
      </c>
    </row>
    <row r="199" spans="5:5">
      <c r="E199" s="59" t="s">
        <v>429</v>
      </c>
    </row>
    <row r="200" spans="5:5">
      <c r="E200" s="59" t="s">
        <v>430</v>
      </c>
    </row>
    <row r="201" spans="5:5">
      <c r="E201" s="59" t="s">
        <v>431</v>
      </c>
    </row>
    <row r="202" spans="5:5">
      <c r="E202" s="59" t="s">
        <v>432</v>
      </c>
    </row>
    <row r="203" spans="5:5">
      <c r="E203" s="59" t="s">
        <v>433</v>
      </c>
    </row>
    <row r="204" spans="5:5">
      <c r="E204" s="59" t="s">
        <v>434</v>
      </c>
    </row>
    <row r="205" spans="5:5">
      <c r="E205" s="59" t="s">
        <v>560</v>
      </c>
    </row>
    <row r="206" spans="5:5">
      <c r="E206" s="59" t="s">
        <v>561</v>
      </c>
    </row>
    <row r="207" spans="5:5">
      <c r="E207" s="59" t="s">
        <v>435</v>
      </c>
    </row>
    <row r="208" spans="5:5">
      <c r="E208" s="59" t="s">
        <v>383</v>
      </c>
    </row>
    <row r="209" spans="5:5">
      <c r="E209" s="59" t="s">
        <v>436</v>
      </c>
    </row>
    <row r="210" spans="5:5">
      <c r="E210" s="62" t="s">
        <v>562</v>
      </c>
    </row>
    <row r="211" spans="5:5">
      <c r="E211" s="62" t="s">
        <v>437</v>
      </c>
    </row>
    <row r="212" spans="5:5">
      <c r="E212" s="62" t="s">
        <v>563</v>
      </c>
    </row>
    <row r="213" spans="5:5">
      <c r="E213" s="62" t="s">
        <v>564</v>
      </c>
    </row>
    <row r="214" spans="5:5">
      <c r="E214" s="62" t="s">
        <v>565</v>
      </c>
    </row>
    <row r="215" spans="5:5">
      <c r="E215" s="62" t="s">
        <v>566</v>
      </c>
    </row>
    <row r="216" spans="5:5">
      <c r="E216" s="62" t="s">
        <v>438</v>
      </c>
    </row>
    <row r="217" spans="5:5">
      <c r="E217" s="62" t="s">
        <v>384</v>
      </c>
    </row>
    <row r="218" spans="5:5">
      <c r="E218" s="62" t="s">
        <v>567</v>
      </c>
    </row>
    <row r="219" spans="5:5">
      <c r="E219" s="62" t="s">
        <v>568</v>
      </c>
    </row>
    <row r="220" spans="5:5">
      <c r="E220" s="62" t="s">
        <v>385</v>
      </c>
    </row>
    <row r="221" spans="5:5">
      <c r="E221" s="62" t="s">
        <v>439</v>
      </c>
    </row>
    <row r="222" spans="5:5">
      <c r="E222" s="62" t="s">
        <v>440</v>
      </c>
    </row>
    <row r="223" spans="5:5">
      <c r="E223" s="62" t="s">
        <v>441</v>
      </c>
    </row>
    <row r="224" spans="5:5">
      <c r="E224" s="62" t="s">
        <v>442</v>
      </c>
    </row>
    <row r="225" spans="5:5">
      <c r="E225" s="62" t="s">
        <v>569</v>
      </c>
    </row>
    <row r="226" spans="5:5">
      <c r="E226" s="62" t="s">
        <v>443</v>
      </c>
    </row>
    <row r="227" spans="5:5">
      <c r="E227" s="62" t="s">
        <v>444</v>
      </c>
    </row>
    <row r="228" spans="5:5">
      <c r="E228" s="62" t="s">
        <v>445</v>
      </c>
    </row>
    <row r="229" spans="5:5">
      <c r="E229" s="62" t="s">
        <v>570</v>
      </c>
    </row>
    <row r="230" spans="5:5">
      <c r="E230" s="62" t="s">
        <v>571</v>
      </c>
    </row>
    <row r="231" spans="5:5">
      <c r="E231" s="62" t="s">
        <v>572</v>
      </c>
    </row>
    <row r="232" spans="5:5">
      <c r="E232" s="62" t="s">
        <v>386</v>
      </c>
    </row>
    <row r="233" spans="5:5">
      <c r="E233" s="62" t="s">
        <v>446</v>
      </c>
    </row>
    <row r="234" spans="5:5">
      <c r="E234" s="62" t="s">
        <v>573</v>
      </c>
    </row>
    <row r="235" spans="5:5">
      <c r="E235" s="62" t="s">
        <v>447</v>
      </c>
    </row>
    <row r="236" spans="5:5">
      <c r="E236" s="62" t="s">
        <v>574</v>
      </c>
    </row>
    <row r="237" spans="5:5">
      <c r="E237" s="62" t="s">
        <v>575</v>
      </c>
    </row>
    <row r="238" spans="5:5">
      <c r="E238" s="62" t="s">
        <v>448</v>
      </c>
    </row>
    <row r="239" spans="5:5">
      <c r="E239" s="62" t="s">
        <v>576</v>
      </c>
    </row>
    <row r="240" spans="5:5">
      <c r="E240" s="62" t="s">
        <v>449</v>
      </c>
    </row>
    <row r="241" spans="5:5">
      <c r="E241" s="62" t="s">
        <v>450</v>
      </c>
    </row>
    <row r="242" spans="5:5">
      <c r="E242" s="62" t="s">
        <v>577</v>
      </c>
    </row>
    <row r="243" spans="5:5">
      <c r="E243" s="62" t="s">
        <v>451</v>
      </c>
    </row>
    <row r="244" spans="5:5">
      <c r="E244" s="62" t="s">
        <v>452</v>
      </c>
    </row>
    <row r="245" spans="5:5">
      <c r="E245" s="62" t="s">
        <v>387</v>
      </c>
    </row>
    <row r="246" spans="5:5">
      <c r="E246" s="62" t="s">
        <v>453</v>
      </c>
    </row>
    <row r="247" spans="5:5">
      <c r="E247" s="62" t="s">
        <v>388</v>
      </c>
    </row>
    <row r="248" spans="5:5">
      <c r="E248" s="62" t="s">
        <v>578</v>
      </c>
    </row>
    <row r="249" spans="5:5">
      <c r="E249" s="62" t="s">
        <v>389</v>
      </c>
    </row>
    <row r="250" spans="5:5">
      <c r="E250" s="62" t="s">
        <v>454</v>
      </c>
    </row>
    <row r="251" spans="5:5">
      <c r="E251" s="62" t="s">
        <v>455</v>
      </c>
    </row>
    <row r="252" spans="5:5">
      <c r="E252" s="62" t="s">
        <v>456</v>
      </c>
    </row>
    <row r="253" spans="5:5">
      <c r="E253" s="62" t="s">
        <v>579</v>
      </c>
    </row>
    <row r="254" spans="5:5">
      <c r="E254" s="62" t="s">
        <v>390</v>
      </c>
    </row>
    <row r="255" spans="5:5">
      <c r="E255" s="62" t="s">
        <v>457</v>
      </c>
    </row>
    <row r="256" spans="5:5">
      <c r="E256" s="62" t="s">
        <v>458</v>
      </c>
    </row>
    <row r="257" spans="5:5">
      <c r="E257" s="62" t="s">
        <v>580</v>
      </c>
    </row>
    <row r="258" spans="5:5">
      <c r="E258" s="62" t="s">
        <v>459</v>
      </c>
    </row>
    <row r="259" spans="5:5">
      <c r="E259" s="62" t="s">
        <v>460</v>
      </c>
    </row>
    <row r="260" spans="5:5">
      <c r="E260" s="62" t="s">
        <v>461</v>
      </c>
    </row>
    <row r="261" spans="5:5">
      <c r="E261" s="62" t="s">
        <v>462</v>
      </c>
    </row>
    <row r="262" spans="5:5">
      <c r="E262" s="62" t="s">
        <v>391</v>
      </c>
    </row>
    <row r="263" spans="5:5">
      <c r="E263" s="62" t="s">
        <v>463</v>
      </c>
    </row>
    <row r="264" spans="5:5">
      <c r="E264" s="62" t="s">
        <v>581</v>
      </c>
    </row>
    <row r="265" spans="5:5">
      <c r="E265" s="62" t="s">
        <v>464</v>
      </c>
    </row>
    <row r="266" spans="5:5">
      <c r="E266" s="62" t="s">
        <v>465</v>
      </c>
    </row>
    <row r="267" spans="5:5">
      <c r="E267" s="62" t="s">
        <v>466</v>
      </c>
    </row>
    <row r="268" spans="5:5">
      <c r="E268" s="62" t="s">
        <v>582</v>
      </c>
    </row>
    <row r="269" spans="5:5">
      <c r="E269" s="62" t="s">
        <v>583</v>
      </c>
    </row>
    <row r="270" spans="5:5">
      <c r="E270" s="62" t="s">
        <v>467</v>
      </c>
    </row>
    <row r="271" spans="5:5">
      <c r="E271" s="62" t="s">
        <v>584</v>
      </c>
    </row>
    <row r="272" spans="5:5">
      <c r="E272" s="62" t="s">
        <v>585</v>
      </c>
    </row>
    <row r="273" spans="5:5">
      <c r="E273" s="62" t="s">
        <v>586</v>
      </c>
    </row>
    <row r="274" spans="5:5">
      <c r="E274" s="62" t="s">
        <v>587</v>
      </c>
    </row>
    <row r="275" spans="5:5">
      <c r="E275" s="62" t="s">
        <v>588</v>
      </c>
    </row>
    <row r="276" spans="5:5">
      <c r="E276" s="62" t="s">
        <v>589</v>
      </c>
    </row>
    <row r="277" spans="5:5">
      <c r="E277" s="62" t="s">
        <v>590</v>
      </c>
    </row>
    <row r="278" spans="5:5">
      <c r="E278" s="62" t="s">
        <v>468</v>
      </c>
    </row>
    <row r="279" spans="5:5">
      <c r="E279" s="62" t="s">
        <v>591</v>
      </c>
    </row>
    <row r="280" spans="5:5">
      <c r="E280" s="62" t="s">
        <v>392</v>
      </c>
    </row>
    <row r="281" spans="5:5">
      <c r="E281" s="62" t="s">
        <v>393</v>
      </c>
    </row>
    <row r="282" spans="5:5">
      <c r="E282" s="62" t="s">
        <v>469</v>
      </c>
    </row>
    <row r="283" spans="5:5">
      <c r="E283" s="62" t="s">
        <v>592</v>
      </c>
    </row>
    <row r="284" spans="5:5">
      <c r="E284" s="62" t="s">
        <v>593</v>
      </c>
    </row>
    <row r="285" spans="5:5">
      <c r="E285" s="62" t="s">
        <v>394</v>
      </c>
    </row>
    <row r="286" spans="5:5">
      <c r="E286" s="62" t="s">
        <v>470</v>
      </c>
    </row>
    <row r="287" spans="5:5">
      <c r="E287" s="62" t="s">
        <v>594</v>
      </c>
    </row>
    <row r="288" spans="5:5">
      <c r="E288" s="62" t="s">
        <v>471</v>
      </c>
    </row>
    <row r="289" spans="5:5">
      <c r="E289" s="62" t="s">
        <v>595</v>
      </c>
    </row>
    <row r="290" spans="5:5">
      <c r="E290" s="62" t="s">
        <v>596</v>
      </c>
    </row>
    <row r="291" spans="5:5">
      <c r="E291" s="62" t="s">
        <v>597</v>
      </c>
    </row>
    <row r="292" spans="5:5">
      <c r="E292" s="62" t="s">
        <v>472</v>
      </c>
    </row>
    <row r="293" spans="5:5">
      <c r="E293" s="62" t="s">
        <v>598</v>
      </c>
    </row>
    <row r="294" spans="5:5">
      <c r="E294" s="62" t="s">
        <v>599</v>
      </c>
    </row>
    <row r="295" spans="5:5">
      <c r="E295" s="62" t="s">
        <v>600</v>
      </c>
    </row>
    <row r="296" spans="5:5">
      <c r="E296" s="62" t="s">
        <v>473</v>
      </c>
    </row>
    <row r="297" spans="5:5">
      <c r="E297" s="62" t="s">
        <v>474</v>
      </c>
    </row>
    <row r="298" spans="5:5">
      <c r="E298" s="62" t="s">
        <v>395</v>
      </c>
    </row>
    <row r="299" spans="5:5">
      <c r="E299" s="62" t="s">
        <v>601</v>
      </c>
    </row>
    <row r="300" spans="5:5">
      <c r="E300" s="62" t="s">
        <v>602</v>
      </c>
    </row>
    <row r="301" spans="5:5">
      <c r="E301" s="62" t="s">
        <v>603</v>
      </c>
    </row>
    <row r="302" spans="5:5">
      <c r="E302" s="62" t="s">
        <v>604</v>
      </c>
    </row>
    <row r="303" spans="5:5">
      <c r="E303" s="62" t="s">
        <v>605</v>
      </c>
    </row>
    <row r="304" spans="5:5">
      <c r="E304" s="62" t="s">
        <v>475</v>
      </c>
    </row>
    <row r="305" spans="5:5">
      <c r="E305" s="62" t="s">
        <v>476</v>
      </c>
    </row>
    <row r="306" spans="5:5">
      <c r="E306" s="62" t="s">
        <v>606</v>
      </c>
    </row>
    <row r="307" spans="5:5">
      <c r="E307" s="62" t="s">
        <v>477</v>
      </c>
    </row>
    <row r="308" spans="5:5">
      <c r="E308" s="62" t="s">
        <v>478</v>
      </c>
    </row>
    <row r="309" spans="5:5">
      <c r="E309" s="62" t="s">
        <v>396</v>
      </c>
    </row>
    <row r="310" spans="5:5">
      <c r="E310" s="62" t="s">
        <v>479</v>
      </c>
    </row>
    <row r="311" spans="5:5">
      <c r="E311" s="62" t="s">
        <v>480</v>
      </c>
    </row>
    <row r="312" spans="5:5">
      <c r="E312" s="62" t="s">
        <v>481</v>
      </c>
    </row>
    <row r="313" spans="5:5">
      <c r="E313" s="62" t="s">
        <v>482</v>
      </c>
    </row>
    <row r="314" spans="5:5">
      <c r="E314" s="62" t="s">
        <v>607</v>
      </c>
    </row>
    <row r="315" spans="5:5">
      <c r="E315" s="62" t="s">
        <v>608</v>
      </c>
    </row>
    <row r="316" spans="5:5">
      <c r="E316" s="62" t="s">
        <v>609</v>
      </c>
    </row>
    <row r="317" spans="5:5">
      <c r="E317" s="62" t="s">
        <v>610</v>
      </c>
    </row>
    <row r="318" spans="5:5">
      <c r="E318" s="62" t="s">
        <v>611</v>
      </c>
    </row>
    <row r="319" spans="5:5">
      <c r="E319" s="62" t="s">
        <v>612</v>
      </c>
    </row>
    <row r="320" spans="5:5">
      <c r="E320" s="62" t="s">
        <v>613</v>
      </c>
    </row>
    <row r="321" spans="5:5">
      <c r="E321" s="62" t="s">
        <v>483</v>
      </c>
    </row>
    <row r="322" spans="5:5">
      <c r="E322" s="62" t="s">
        <v>484</v>
      </c>
    </row>
    <row r="323" spans="5:5">
      <c r="E323" s="62" t="s">
        <v>485</v>
      </c>
    </row>
    <row r="324" spans="5:5">
      <c r="E324" s="62" t="s">
        <v>486</v>
      </c>
    </row>
    <row r="325" spans="5:5">
      <c r="E325" s="62" t="s">
        <v>614</v>
      </c>
    </row>
    <row r="326" spans="5:5">
      <c r="E326" s="62" t="s">
        <v>487</v>
      </c>
    </row>
    <row r="327" spans="5:5">
      <c r="E327" s="62" t="s">
        <v>615</v>
      </c>
    </row>
    <row r="328" spans="5:5">
      <c r="E328" s="62" t="s">
        <v>488</v>
      </c>
    </row>
    <row r="329" spans="5:5">
      <c r="E329" s="62" t="s">
        <v>489</v>
      </c>
    </row>
    <row r="330" spans="5:5">
      <c r="E330" s="62" t="s">
        <v>616</v>
      </c>
    </row>
    <row r="331" spans="5:5">
      <c r="E331" s="62" t="s">
        <v>617</v>
      </c>
    </row>
    <row r="332" spans="5:5">
      <c r="E332" s="62" t="s">
        <v>490</v>
      </c>
    </row>
    <row r="333" spans="5:5">
      <c r="E333" s="62" t="s">
        <v>618</v>
      </c>
    </row>
    <row r="334" spans="5:5">
      <c r="E334" s="62" t="s">
        <v>619</v>
      </c>
    </row>
    <row r="335" spans="5:5">
      <c r="E335" s="62" t="s">
        <v>620</v>
      </c>
    </row>
    <row r="336" spans="5:5">
      <c r="E336" s="62" t="s">
        <v>621</v>
      </c>
    </row>
    <row r="337" spans="5:5">
      <c r="E337" s="62" t="s">
        <v>622</v>
      </c>
    </row>
    <row r="338" spans="5:5">
      <c r="E338" s="62" t="s">
        <v>623</v>
      </c>
    </row>
    <row r="339" spans="5:5">
      <c r="E339" s="62" t="s">
        <v>624</v>
      </c>
    </row>
    <row r="340" spans="5:5">
      <c r="E340" s="62" t="s">
        <v>491</v>
      </c>
    </row>
    <row r="341" spans="5:5">
      <c r="E341" s="62" t="s">
        <v>625</v>
      </c>
    </row>
    <row r="342" spans="5:5">
      <c r="E342" s="62" t="s">
        <v>626</v>
      </c>
    </row>
    <row r="343" spans="5:5">
      <c r="E343" s="62" t="s">
        <v>627</v>
      </c>
    </row>
    <row r="344" spans="5:5">
      <c r="E344" s="62" t="s">
        <v>628</v>
      </c>
    </row>
    <row r="345" spans="5:5">
      <c r="E345" s="62" t="s">
        <v>492</v>
      </c>
    </row>
    <row r="346" spans="5:5">
      <c r="E346" s="62" t="s">
        <v>629</v>
      </c>
    </row>
    <row r="347" spans="5:5">
      <c r="E347" s="62" t="s">
        <v>630</v>
      </c>
    </row>
    <row r="348" spans="5:5">
      <c r="E348" s="16" t="s">
        <v>493</v>
      </c>
    </row>
    <row r="349" spans="5:5">
      <c r="E349" s="16" t="s">
        <v>631</v>
      </c>
    </row>
    <row r="350" spans="5:5">
      <c r="E350" s="16" t="s">
        <v>632</v>
      </c>
    </row>
    <row r="351" spans="5:5">
      <c r="E351" s="16" t="s">
        <v>633</v>
      </c>
    </row>
    <row r="352" spans="5:5">
      <c r="E352" s="16" t="s">
        <v>634</v>
      </c>
    </row>
    <row r="353" spans="5:5">
      <c r="E353" s="16" t="s">
        <v>635</v>
      </c>
    </row>
    <row r="354" spans="5:5">
      <c r="E354" s="16" t="s">
        <v>636</v>
      </c>
    </row>
    <row r="355" spans="5:5">
      <c r="E355" s="16" t="s">
        <v>637</v>
      </c>
    </row>
    <row r="356" spans="5:5">
      <c r="E356" s="16" t="s">
        <v>638</v>
      </c>
    </row>
    <row r="357" spans="5:5">
      <c r="E357" s="16" t="s">
        <v>639</v>
      </c>
    </row>
    <row r="358" spans="5:5">
      <c r="E358" s="16" t="s">
        <v>640</v>
      </c>
    </row>
    <row r="359" spans="5:5">
      <c r="E359" s="16" t="s">
        <v>494</v>
      </c>
    </row>
    <row r="360" spans="5:5">
      <c r="E360" s="16" t="s">
        <v>641</v>
      </c>
    </row>
    <row r="361" spans="5:5">
      <c r="E361" s="16" t="s">
        <v>495</v>
      </c>
    </row>
    <row r="362" spans="5:5">
      <c r="E362" s="16" t="s">
        <v>642</v>
      </c>
    </row>
    <row r="363" spans="5:5">
      <c r="E363" s="16" t="s">
        <v>496</v>
      </c>
    </row>
    <row r="364" spans="5:5">
      <c r="E364" s="16" t="s">
        <v>643</v>
      </c>
    </row>
    <row r="365" spans="5:5">
      <c r="E365" s="16" t="s">
        <v>644</v>
      </c>
    </row>
    <row r="366" spans="5:5">
      <c r="E366" s="16" t="s">
        <v>645</v>
      </c>
    </row>
    <row r="367" spans="5:5">
      <c r="E367" s="16" t="s">
        <v>497</v>
      </c>
    </row>
    <row r="368" spans="5:5">
      <c r="E368" s="16" t="s">
        <v>646</v>
      </c>
    </row>
    <row r="369" spans="5:5">
      <c r="E369" s="16" t="s">
        <v>397</v>
      </c>
    </row>
    <row r="370" spans="5:5">
      <c r="E370" s="16" t="s">
        <v>647</v>
      </c>
    </row>
    <row r="371" spans="5:5">
      <c r="E371" s="16" t="s">
        <v>648</v>
      </c>
    </row>
    <row r="372" spans="5:5">
      <c r="E372" s="16" t="s">
        <v>649</v>
      </c>
    </row>
    <row r="373" spans="5:5">
      <c r="E373" s="16" t="s">
        <v>398</v>
      </c>
    </row>
    <row r="374" spans="5:5">
      <c r="E374" s="16" t="s">
        <v>498</v>
      </c>
    </row>
    <row r="375" spans="5:5">
      <c r="E375" s="16" t="s">
        <v>650</v>
      </c>
    </row>
    <row r="376" spans="5:5">
      <c r="E376" s="16" t="s">
        <v>651</v>
      </c>
    </row>
    <row r="377" spans="5:5">
      <c r="E377" s="16" t="s">
        <v>652</v>
      </c>
    </row>
    <row r="378" spans="5:5">
      <c r="E378" s="16" t="s">
        <v>653</v>
      </c>
    </row>
    <row r="379" spans="5:5">
      <c r="E379" s="16" t="s">
        <v>654</v>
      </c>
    </row>
    <row r="380" spans="5:5">
      <c r="E380" s="16" t="s">
        <v>655</v>
      </c>
    </row>
    <row r="381" spans="5:5">
      <c r="E381" s="16" t="s">
        <v>656</v>
      </c>
    </row>
    <row r="382" spans="5:5">
      <c r="E382" s="16" t="s">
        <v>657</v>
      </c>
    </row>
    <row r="383" spans="5:5">
      <c r="E383" s="16" t="s">
        <v>658</v>
      </c>
    </row>
    <row r="384" spans="5:5">
      <c r="E384" s="16" t="s">
        <v>499</v>
      </c>
    </row>
    <row r="385" spans="5:5">
      <c r="E385" s="16" t="s">
        <v>500</v>
      </c>
    </row>
    <row r="386" spans="5:5">
      <c r="E386" s="16" t="s">
        <v>659</v>
      </c>
    </row>
    <row r="387" spans="5:5">
      <c r="E387" s="16" t="s">
        <v>660</v>
      </c>
    </row>
    <row r="388" spans="5:5">
      <c r="E388" s="16" t="s">
        <v>501</v>
      </c>
    </row>
    <row r="389" spans="5:5">
      <c r="E389" s="16" t="s">
        <v>502</v>
      </c>
    </row>
    <row r="390" spans="5:5">
      <c r="E390" s="16" t="s">
        <v>503</v>
      </c>
    </row>
    <row r="391" spans="5:5">
      <c r="E391" s="16" t="s">
        <v>661</v>
      </c>
    </row>
    <row r="392" spans="5:5">
      <c r="E392" s="16" t="s">
        <v>662</v>
      </c>
    </row>
    <row r="393" spans="5:5">
      <c r="E393" s="16" t="s">
        <v>663</v>
      </c>
    </row>
    <row r="394" spans="5:5">
      <c r="E394" s="16" t="s">
        <v>664</v>
      </c>
    </row>
    <row r="395" spans="5:5">
      <c r="E395" s="16" t="s">
        <v>665</v>
      </c>
    </row>
    <row r="396" spans="5:5">
      <c r="E396" s="16" t="s">
        <v>666</v>
      </c>
    </row>
  </sheetData>
  <pageMargins left="0.7" right="0.7" top="0.75" bottom="0.75" header="0.3" footer="0.3"/>
  <pageSetup paperSize="9" scale="50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E49"/>
  <sheetViews>
    <sheetView zoomScale="70" zoomScaleNormal="70" workbookViewId="0">
      <selection activeCell="C3" sqref="C3:D3"/>
    </sheetView>
  </sheetViews>
  <sheetFormatPr defaultRowHeight="18"/>
  <cols>
    <col min="1" max="4" width="35.85546875" style="2" customWidth="1"/>
    <col min="5" max="5" width="23.5703125" style="2" customWidth="1"/>
    <col min="6" max="7" width="9.140625" style="2"/>
    <col min="8" max="8" width="24.7109375" style="2" customWidth="1"/>
    <col min="9" max="16384" width="9.140625" style="2"/>
  </cols>
  <sheetData>
    <row r="1" spans="1:5" ht="45.75" customHeight="1">
      <c r="A1" s="64" t="str">
        <f>E1</f>
        <v>EW5S6377</v>
      </c>
      <c r="B1" s="64"/>
      <c r="C1" s="64"/>
      <c r="D1" s="64"/>
      <c r="E1" s="43" t="s">
        <v>504</v>
      </c>
    </row>
    <row r="2" spans="1:5" s="3" customFormat="1" ht="30.75" customHeight="1">
      <c r="A2" s="65" t="str">
        <f>'Ingave Specificaties'!D3&amp;" ("&amp;'Ingave Specificaties'!D6&amp;"PS) "&amp;'Ingave Specificaties'!D4&amp;" "&amp;'Ingave Specificaties'!D9&amp;IF('Ingave Specificaties'!D5&lt;&gt;""," - "&amp;'Ingave Specificaties'!D5,"") &amp; "  " &amp; 'Ingave Specificaties'!D4 &amp; IF(E2&lt;&gt;""," (ODO AANDUIDING IN " &amp; UPPER(E2) &amp; ")","")</f>
        <v>FOX 1.0 GTDI (125PS) 6F15 LHD - 1.0 L  6F15 (ODO AANDUIDING IN K)</v>
      </c>
      <c r="B2" s="66"/>
      <c r="C2" s="66"/>
      <c r="D2" s="67"/>
      <c r="E2" s="44" t="s">
        <v>670</v>
      </c>
    </row>
    <row r="3" spans="1:5" s="3" customFormat="1" ht="30.75" customHeight="1">
      <c r="A3" s="34" t="s">
        <v>178</v>
      </c>
      <c r="B3" s="37" t="str">
        <f>UPPER(E3)</f>
        <v>B</v>
      </c>
      <c r="C3" s="65"/>
      <c r="D3" s="67"/>
      <c r="E3" s="44" t="s">
        <v>361</v>
      </c>
    </row>
    <row r="4" spans="1:5" ht="30.75" customHeight="1">
      <c r="A4" s="68" t="s">
        <v>179</v>
      </c>
      <c r="B4" s="68"/>
      <c r="C4" s="68"/>
      <c r="D4" s="68"/>
    </row>
    <row r="5" spans="1:5" s="3" customFormat="1" ht="30.75" customHeight="1">
      <c r="A5" s="17" t="s">
        <v>180</v>
      </c>
      <c r="B5" s="17" t="str">
        <f>'Ingave Specificaties'!D10 &amp; "  " &amp; 'Ingave Specificaties'!D11</f>
        <v xml:space="preserve">  95RON E10 ( of 95RON)</v>
      </c>
      <c r="C5" s="17"/>
      <c r="D5" s="17"/>
    </row>
    <row r="6" spans="1:5" s="3" customFormat="1" ht="30.75" customHeight="1">
      <c r="A6" s="18" t="s">
        <v>134</v>
      </c>
      <c r="B6" s="17" t="str">
        <f>IF(IF(VLOOKUP(A6,'Ingave Specificaties'!$C$2:$D$418,2,FALSE)&lt;&gt;"",VLOOKUP(A6,'Ingave Specificaties'!$C$2:$D$418,2,FALSE),"")="N","NEEN",IF(IF(VLOOKUP(A6,'Ingave Specificaties'!$C$2:$D$418,2,FALSE)&lt;&gt;"",VLOOKUP(A6,'Ingave Specificaties'!$C$2:$D$418,2,FALSE),"")="Y","JA",IF(VLOOKUP(A6,'Ingave Specificaties'!$C$2:$D$418,2,FALSE)&lt;&gt;"",VLOOKUP(A6,'Ingave Specificaties'!$C$2:$D$418,2,FALSE),"")))</f>
        <v>WSS-M2C948-A 5W20</v>
      </c>
      <c r="C6" s="18" t="s">
        <v>58</v>
      </c>
      <c r="D6" s="17" t="str">
        <f>IF(IF(VLOOKUP(C6,'Ingave Specificaties'!$C$2:$D$418,2,FALSE)&lt;&gt;"",VLOOKUP(C6,'Ingave Specificaties'!$C$2:$D$418,2,FALSE),"")="N","NEEN",IF(IF(VLOOKUP(C6,'Ingave Specificaties'!$C$2:$D$418,2,FALSE)&lt;&gt;"",VLOOKUP(C6,'Ingave Specificaties'!$C$2:$D$418,2,FALSE),"")="Y","JA",IF(VLOOKUP(C6,'Ingave Specificaties'!$C$2:$D$418,2,FALSE)&lt;&gt;"",VLOOKUP(C6,'Ingave Specificaties'!$C$2:$D$418,2,FALSE),"")))</f>
        <v>JA / STAAL:JA  / VERZ.: NEEN</v>
      </c>
    </row>
    <row r="7" spans="1:5" s="3" customFormat="1" ht="30.75" customHeight="1">
      <c r="A7" s="17" t="s">
        <v>79</v>
      </c>
      <c r="B7" s="17" t="str">
        <f>IF(IF(VLOOKUP(A7,'Ingave Specificaties'!$C$2:$D$418,2,FALSE)&lt;&gt;"",VLOOKUP(A7,'Ingave Specificaties'!$C$2:$D$418,2,FALSE),"")="N","NEEN",IF(IF(VLOOKUP(A7,'Ingave Specificaties'!$C$2:$D$418,2,FALSE)&lt;&gt;"",VLOOKUP(A7,'Ingave Specificaties'!$C$2:$D$418,2,FALSE),"")="Y","JA",IF(VLOOKUP(A7,'Ingave Specificaties'!$C$2:$D$418,2,FALSE)&lt;&gt;"",VLOOKUP(A7,'Ingave Specificaties'!$C$2:$D$418,2,FALSE),"")))</f>
        <v/>
      </c>
      <c r="C7" s="17"/>
      <c r="D7" s="17"/>
    </row>
    <row r="8" spans="1:5" s="3" customFormat="1" ht="30.75" customHeight="1">
      <c r="A8" s="17" t="s">
        <v>78</v>
      </c>
      <c r="B8" s="17" t="str">
        <f>IF(IF(VLOOKUP(A8,'Ingave Specificaties'!$C$2:$D$418,2,FALSE)&lt;&gt;"",VLOOKUP(A8,'Ingave Specificaties'!$C$2:$D$418,2,FALSE),"")="N","NEEN",IF(IF(VLOOKUP(A8,'Ingave Specificaties'!$C$2:$D$418,2,FALSE)&lt;&gt;"",VLOOKUP(A8,'Ingave Specificaties'!$C$2:$D$418,2,FALSE),"")="Y","JA",IF(VLOOKUP(A8,'Ingave Specificaties'!$C$2:$D$418,2,FALSE)&lt;&gt;"",VLOOKUP(A8,'Ingave Specificaties'!$C$2:$D$418,2,FALSE),"")))</f>
        <v>205/55 R16 94V</v>
      </c>
      <c r="C8" s="17" t="s">
        <v>81</v>
      </c>
      <c r="D8" s="17" t="str">
        <f>IF(IF(VLOOKUP(C8,'Ingave Specificaties'!$C$2:$D$418,2,FALSE)&lt;&gt;"",VLOOKUP(C8,'Ingave Specificaties'!$C$2:$D$418,2,FALSE),"")="N","NEEN",IF(IF(VLOOKUP(C8,'Ingave Specificaties'!$C$2:$D$418,2,FALSE)&lt;&gt;"",VLOOKUP(C8,'Ingave Specificaties'!$C$2:$D$418,2,FALSE),"")="Y","JA",IF(VLOOKUP(C8,'Ingave Specificaties'!$C$2:$D$418,2,FALSE)&lt;&gt;"",VLOOKUP(C8,'Ingave Specificaties'!$C$2:$D$418,2,FALSE),"")))</f>
        <v>NEEN</v>
      </c>
    </row>
    <row r="9" spans="1:5" s="3" customFormat="1" ht="30.75" customHeight="1">
      <c r="A9" s="17" t="s">
        <v>86</v>
      </c>
      <c r="B9" s="17" t="str">
        <f>IF(IF(VLOOKUP(A9,'Ingave Specificaties'!$C$2:$D$418,2,FALSE)&lt;&gt;"",VLOOKUP(A9,'Ingave Specificaties'!$C$2:$D$418,2,FALSE),"")="N","NEEN",IF(IF(VLOOKUP(A9,'Ingave Specificaties'!$C$2:$D$418,2,FALSE)&lt;&gt;"",VLOOKUP(A9,'Ingave Specificaties'!$C$2:$D$418,2,FALSE),"")="Y","JA",IF(VLOOKUP(A9,'Ingave Specificaties'!$C$2:$D$418,2,FALSE)&lt;&gt;"",VLOOKUP(A9,'Ingave Specificaties'!$C$2:$D$418,2,FALSE),"")))</f>
        <v>JA</v>
      </c>
      <c r="C9" s="17" t="s">
        <v>84</v>
      </c>
      <c r="D9" s="17" t="str">
        <f>IF(IF(VLOOKUP(C9,'Ingave Specificaties'!$C$2:$D$418,2,FALSE)&lt;&gt;"",VLOOKUP(C9,'Ingave Specificaties'!$C$2:$D$418,2,FALSE),"")="N","NEEN",IF(IF(VLOOKUP(C9,'Ingave Specificaties'!$C$2:$D$418,2,FALSE)&lt;&gt;"",VLOOKUP(C9,'Ingave Specificaties'!$C$2:$D$418,2,FALSE),"")="Y","JA",IF(VLOOKUP(C9,'Ingave Specificaties'!$C$2:$D$418,2,FALSE)&lt;&gt;"",VLOOKUP(C9,'Ingave Specificaties'!$C$2:$D$418,2,FALSE),"")))</f>
        <v/>
      </c>
    </row>
    <row r="10" spans="1:5" s="3" customFormat="1" ht="30.75" customHeight="1">
      <c r="A10" s="17" t="s">
        <v>89</v>
      </c>
      <c r="B10" s="17" t="str">
        <f>IF(IF(VLOOKUP(A10,'Ingave Specificaties'!$C$2:$D$418,2,FALSE)&lt;&gt;"",VLOOKUP(A10,'Ingave Specificaties'!$C$2:$D$418,2,FALSE),"")="N","NEEN",IF(IF(VLOOKUP(A10,'Ingave Specificaties'!$C$2:$D$418,2,FALSE)&lt;&gt;"",VLOOKUP(A10,'Ingave Specificaties'!$C$2:$D$418,2,FALSE),"")="Y","JA",IF(VLOOKUP(A10,'Ingave Specificaties'!$C$2:$D$418,2,FALSE)&lt;&gt;"",VLOOKUP(A10,'Ingave Specificaties'!$C$2:$D$418,2,FALSE),"")))</f>
        <v>16 "</v>
      </c>
      <c r="C10" s="17" t="s">
        <v>88</v>
      </c>
      <c r="D10" s="17" t="str">
        <f>IF(IF(VLOOKUP(C10,'Ingave Specificaties'!$C$2:$D$418,2,FALSE)&lt;&gt;"",VLOOKUP(C10,'Ingave Specificaties'!$C$2:$D$418,2,FALSE),"")="N","NEEN",IF(IF(VLOOKUP(C10,'Ingave Specificaties'!$C$2:$D$418,2,FALSE)&lt;&gt;"",VLOOKUP(C10,'Ingave Specificaties'!$C$2:$D$418,2,FALSE),"")="Y","JA",IF(VLOOKUP(C10,'Ingave Specificaties'!$C$2:$D$418,2,FALSE)&lt;&gt;"",VLOOKUP(C10,'Ingave Specificaties'!$C$2:$D$418,2,FALSE),"")))</f>
        <v>A</v>
      </c>
    </row>
    <row r="11" spans="1:5" s="3" customFormat="1" ht="30.75" customHeight="1">
      <c r="A11" s="17" t="s">
        <v>80</v>
      </c>
      <c r="B11" s="17" t="str">
        <f>IF(IF(VLOOKUP(A11,'Ingave Specificaties'!$C$2:$D$418,2,FALSE)&lt;&gt;"",VLOOKUP(A11,'Ingave Specificaties'!$C$2:$D$418,2,FALSE),"")="N","NEEN",IF(IF(VLOOKUP(A11,'Ingave Specificaties'!$C$2:$D$418,2,FALSE)&lt;&gt;"",VLOOKUP(A11,'Ingave Specificaties'!$C$2:$D$418,2,FALSE),"")="Y","JA",IF(VLOOKUP(A11,'Ingave Specificaties'!$C$2:$D$418,2,FALSE)&lt;&gt;"",VLOOKUP(A11,'Ingave Specificaties'!$C$2:$D$418,2,FALSE),"")))</f>
        <v>130Nm = NOM = Groen (CHECKWAARDE = 100Nm)</v>
      </c>
      <c r="C11" s="17"/>
      <c r="D11" s="17"/>
    </row>
    <row r="12" spans="1:5" s="3" customFormat="1" ht="30.75" customHeight="1">
      <c r="A12" s="17" t="s">
        <v>82</v>
      </c>
      <c r="B12" s="17" t="str">
        <f>IF(IF(VLOOKUP(A12,'Ingave Specificaties'!$C$2:$D$418,2,FALSE)&lt;&gt;"",VLOOKUP(A12,'Ingave Specificaties'!$C$2:$D$418,2,FALSE),"")="N","NEEN",IF(IF(VLOOKUP(A12,'Ingave Specificaties'!$C$2:$D$418,2,FALSE)&lt;&gt;"",VLOOKUP(A12,'Ingave Specificaties'!$C$2:$D$418,2,FALSE),"")="Y","JA",IF(VLOOKUP(A12,'Ingave Specificaties'!$C$2:$D$418,2,FALSE)&lt;&gt;"",VLOOKUP(A12,'Ingave Specificaties'!$C$2:$D$418,2,FALSE),"")))</f>
        <v/>
      </c>
      <c r="C12" s="17"/>
      <c r="D12" s="17"/>
    </row>
    <row r="13" spans="1:5" s="3" customFormat="1" ht="30.75" customHeight="1">
      <c r="A13" s="17" t="s">
        <v>8</v>
      </c>
      <c r="B13" s="17" t="str">
        <f>IF(IF(VLOOKUP(A13,'Ingave Specificaties'!$C$2:$D$418,2,FALSE)&lt;&gt;"",VLOOKUP(A13,'Ingave Specificaties'!$C$2:$D$418,2,FALSE),"")="N","NEEN",IF(IF(VLOOKUP(A13,'Ingave Specificaties'!$C$2:$D$418,2,FALSE)&lt;&gt;"",VLOOKUP(A13,'Ingave Specificaties'!$C$2:$D$418,2,FALSE),"")="Y","JA",IF(VLOOKUP(A13,'Ingave Specificaties'!$C$2:$D$418,2,FALSE)&lt;&gt;"",VLOOKUP(A13,'Ingave Specificaties'!$C$2:$D$418,2,FALSE),"")))</f>
        <v>JA</v>
      </c>
      <c r="C13" s="17" t="s">
        <v>20</v>
      </c>
      <c r="D13" s="17" t="str">
        <f>IF(IF(VLOOKUP(C13,'Ingave Specificaties'!$C$2:$D$418,2,FALSE)&lt;&gt;"",VLOOKUP(C13,'Ingave Specificaties'!$C$2:$D$418,2,FALSE),"")="N","NEEN",IF(IF(VLOOKUP(C13,'Ingave Specificaties'!$C$2:$D$418,2,FALSE)&lt;&gt;"",VLOOKUP(C13,'Ingave Specificaties'!$C$2:$D$418,2,FALSE),"")="Y","JA",IF(VLOOKUP(C13,'Ingave Specificaties'!$C$2:$D$418,2,FALSE)&lt;&gt;"",VLOOKUP(C13,'Ingave Specificaties'!$C$2:$D$418,2,FALSE),"")))</f>
        <v>JA</v>
      </c>
    </row>
    <row r="14" spans="1:5" s="3" customFormat="1" ht="30.75" customHeight="1">
      <c r="A14" s="17" t="s">
        <v>13</v>
      </c>
      <c r="B14" s="17" t="str">
        <f>IF(IF(VLOOKUP(A14,'Ingave Specificaties'!$C$2:$D$418,2,FALSE)&lt;&gt;"",VLOOKUP(A14,'Ingave Specificaties'!$C$2:$D$418,2,FALSE),"")="N","NEEN",IF(IF(VLOOKUP(A14,'Ingave Specificaties'!$C$2:$D$418,2,FALSE)&lt;&gt;"",VLOOKUP(A14,'Ingave Specificaties'!$C$2:$D$418,2,FALSE),"")="Y","JA",IF(VLOOKUP(A14,'Ingave Specificaties'!$C$2:$D$418,2,FALSE)&lt;&gt;"",VLOOKUP(A14,'Ingave Specificaties'!$C$2:$D$418,2,FALSE),"")))</f>
        <v>NEEN</v>
      </c>
      <c r="C14" s="17"/>
      <c r="D14" s="17"/>
    </row>
    <row r="15" spans="1:5" s="3" customFormat="1" ht="30.75" customHeight="1">
      <c r="A15" s="17" t="s">
        <v>225</v>
      </c>
      <c r="B15" s="17" t="str">
        <f>IF(IF(VLOOKUP(A15,'Ingave Specificaties'!$C$2:$D$418,2,FALSE)&lt;&gt;"",VLOOKUP(A15,'Ingave Specificaties'!$C$2:$D$418,2,FALSE),"")="N","NEEN",IF(IF(VLOOKUP(A15,'Ingave Specificaties'!$C$2:$D$418,2,FALSE)&lt;&gt;"",VLOOKUP(A15,'Ingave Specificaties'!$C$2:$D$418,2,FALSE),"")="Y","JA",IF(VLOOKUP(A15,'Ingave Specificaties'!$C$2:$D$418,2,FALSE)&lt;&gt;"",VLOOKUP(A15,'Ingave Specificaties'!$C$2:$D$418,2,FALSE),"")))</f>
        <v/>
      </c>
      <c r="C15" s="17" t="s">
        <v>11</v>
      </c>
      <c r="D15" s="17" t="str">
        <f>IF(IF(VLOOKUP(C15,'Ingave Specificaties'!$C$2:$D$418,2,FALSE)&lt;&gt;"",VLOOKUP(C15,'Ingave Specificaties'!$C$2:$D$418,2,FALSE),"")="N","NEEN",IF(IF(VLOOKUP(C15,'Ingave Specificaties'!$C$2:$D$418,2,FALSE)&lt;&gt;"",VLOOKUP(C15,'Ingave Specificaties'!$C$2:$D$418,2,FALSE),"")="Y","JA",IF(VLOOKUP(C15,'Ingave Specificaties'!$C$2:$D$418,2,FALSE)&lt;&gt;"",VLOOKUP(C15,'Ingave Specificaties'!$C$2:$D$418,2,FALSE),"")))</f>
        <v>NEEN</v>
      </c>
    </row>
    <row r="16" spans="1:5" s="3" customFormat="1" ht="30.75" customHeight="1">
      <c r="A16" s="68" t="s">
        <v>181</v>
      </c>
      <c r="B16" s="68"/>
      <c r="C16" s="68"/>
      <c r="D16" s="68"/>
    </row>
    <row r="17" spans="1:4" s="3" customFormat="1" ht="30.75" customHeight="1">
      <c r="A17" s="4"/>
      <c r="B17" s="4"/>
      <c r="C17" s="4"/>
      <c r="D17" s="4"/>
    </row>
    <row r="18" spans="1:4" s="3" customFormat="1" ht="30.75" customHeight="1">
      <c r="A18" s="69" t="s">
        <v>182</v>
      </c>
      <c r="B18" s="69"/>
      <c r="C18" s="69"/>
      <c r="D18" s="69"/>
    </row>
    <row r="19" spans="1:4" s="3" customFormat="1" ht="30.75" customHeight="1">
      <c r="A19" s="19" t="s">
        <v>71</v>
      </c>
      <c r="B19" s="20">
        <f>IF(IF(VLOOKUP(A19,'Ingave Specificaties'!$C$2:$D$418,2,FALSE)&lt;&gt;"",VLOOKUP(A19,'Ingave Specificaties'!$C$2:$D$418,2,FALSE),"")="N","NEEN",IF(IF(VLOOKUP(A19,'Ingave Specificaties'!$C$2:$D$418,2,FALSE)&lt;&gt;"",VLOOKUP(A19,'Ingave Specificaties'!$C$2:$D$418,2,FALSE),"")="Y","JA",IF(VLOOKUP(A19,'Ingave Specificaties'!$C$2:$D$418,2,FALSE)&lt;&gt;"",VLOOKUP(A19,'Ingave Specificaties'!$C$2:$D$418,2,FALSE),"")))</f>
        <v>600</v>
      </c>
      <c r="C19" s="19" t="s">
        <v>72</v>
      </c>
      <c r="D19" s="20" t="str">
        <f>IF(IF(VLOOKUP(C19,'Ingave Specificaties'!$C$2:$D$418,2,FALSE)&lt;&gt;"",VLOOKUP(C19,'Ingave Specificaties'!$C$2:$D$418,2,FALSE),"")="N","NEEN",IF(IF(VLOOKUP(C19,'Ingave Specificaties'!$C$2:$D$418,2,FALSE)&lt;&gt;"",VLOOKUP(C19,'Ingave Specificaties'!$C$2:$D$418,2,FALSE),"")="Y","JA",IF(VLOOKUP(C19,'Ingave Specificaties'!$C$2:$D$418,2,FALSE)&lt;&gt;"",VLOOKUP(C19,'Ingave Specificaties'!$C$2:$D$418,2,FALSE),"")))</f>
        <v>R134A</v>
      </c>
    </row>
    <row r="20" spans="1:4" s="3" customFormat="1" ht="30.75" customHeight="1">
      <c r="A20" s="19" t="s">
        <v>228</v>
      </c>
      <c r="B20" s="20" t="str">
        <f>IF(IF(VLOOKUP(A20,'Ingave Specificaties'!$C$2:$D$418,2,FALSE)&lt;&gt;"",VLOOKUP(A20,'Ingave Specificaties'!$C$2:$D$418,2,FALSE),"")="N","NEEN",IF(IF(VLOOKUP(A20,'Ingave Specificaties'!$C$2:$D$418,2,FALSE)&lt;&gt;"",VLOOKUP(A20,'Ingave Specificaties'!$C$2:$D$418,2,FALSE),"")="Y","JA",IF(VLOOKUP(A20,'Ingave Specificaties'!$C$2:$D$418,2,FALSE)&lt;&gt;"",VLOOKUP(A20,'Ingave Specificaties'!$C$2:$D$418,2,FALSE),"")))</f>
        <v>JA</v>
      </c>
      <c r="C20" s="19" t="s">
        <v>73</v>
      </c>
      <c r="D20" s="20" t="str">
        <f>IF(IF(VLOOKUP(C20,'Ingave Specificaties'!$C$2:$D$418,2,FALSE)&lt;&gt;"",VLOOKUP(C20,'Ingave Specificaties'!$C$2:$D$418,2,FALSE),"")="N","NEEN",IF(IF(VLOOKUP(C20,'Ingave Specificaties'!$C$2:$D$418,2,FALSE)&lt;&gt;"",VLOOKUP(C20,'Ingave Specificaties'!$C$2:$D$418,2,FALSE),"")="Y","JA",IF(VLOOKUP(C20,'Ingave Specificaties'!$C$2:$D$418,2,FALSE)&lt;&gt;"",VLOOKUP(C20,'Ingave Specificaties'!$C$2:$D$418,2,FALSE),"")))</f>
        <v>JA</v>
      </c>
    </row>
    <row r="21" spans="1:4" s="3" customFormat="1" ht="30.75" customHeight="1">
      <c r="A21" s="69" t="s">
        <v>183</v>
      </c>
      <c r="B21" s="69"/>
      <c r="C21" s="69"/>
      <c r="D21" s="69"/>
    </row>
    <row r="22" spans="1:4" s="3" customFormat="1" ht="30.75" customHeight="1">
      <c r="A22" s="19" t="s">
        <v>74</v>
      </c>
      <c r="B22" s="21" t="str">
        <f>IF(IF(VLOOKUP(A22,'Ingave Specificaties'!$C$2:$D$418,2,FALSE)&lt;&gt;"",VLOOKUP(A22,'Ingave Specificaties'!$C$2:$D$418,2,FALSE),"")="N","NEEN",IF(IF(VLOOKUP(A22,'Ingave Specificaties'!$C$2:$D$418,2,FALSE)&lt;&gt;"",VLOOKUP(A22,'Ingave Specificaties'!$C$2:$D$418,2,FALSE),"")="Y","JA",IF(VLOOKUP(A22,'Ingave Specificaties'!$C$2:$D$418,2,FALSE)&lt;&gt;"",VLOOKUP(A22,'Ingave Specificaties'!$C$2:$D$418,2,FALSE),"")))</f>
        <v>2.8+0.3 = 3.1</v>
      </c>
      <c r="C22" s="19" t="s">
        <v>75</v>
      </c>
      <c r="D22" s="21" t="str">
        <f>IF(IF(VLOOKUP(C22,'Ingave Specificaties'!$C$2:$D$418,2,FALSE)&lt;&gt;"",VLOOKUP(C22,'Ingave Specificaties'!$C$2:$D$418,2,FALSE),"")="N","NEEN",IF(IF(VLOOKUP(C22,'Ingave Specificaties'!$C$2:$D$418,2,FALSE)&lt;&gt;"",VLOOKUP(C22,'Ingave Specificaties'!$C$2:$D$418,2,FALSE),"")="Y","JA",IF(VLOOKUP(C22,'Ingave Specificaties'!$C$2:$D$418,2,FALSE)&lt;&gt;"",VLOOKUP(C22,'Ingave Specificaties'!$C$2:$D$418,2,FALSE),"")))</f>
        <v>2.1+0.3=2.4</v>
      </c>
    </row>
    <row r="23" spans="1:4" s="3" customFormat="1" ht="30.75" customHeight="1">
      <c r="A23" s="19" t="s">
        <v>76</v>
      </c>
      <c r="B23" s="21" t="str">
        <f>IF(IF(VLOOKUP(A23,'Ingave Specificaties'!$C$2:$D$418,2,FALSE)&lt;&gt;"",VLOOKUP(A23,'Ingave Specificaties'!$C$2:$D$418,2,FALSE),"")="N","NEEN",IF(IF(VLOOKUP(A23,'Ingave Specificaties'!$C$2:$D$418,2,FALSE)&lt;&gt;"",VLOOKUP(A23,'Ingave Specificaties'!$C$2:$D$418,2,FALSE),"")="Y","JA",IF(VLOOKUP(A23,'Ingave Specificaties'!$C$2:$D$418,2,FALSE)&lt;&gt;"",VLOOKUP(A23,'Ingave Specificaties'!$C$2:$D$418,2,FALSE),"")))</f>
        <v>2.4+0.3 = 2.7</v>
      </c>
      <c r="C23" s="19" t="s">
        <v>77</v>
      </c>
      <c r="D23" s="21" t="str">
        <f>IF(IF(VLOOKUP(C23,'Ingave Specificaties'!$C$2:$D$418,2,FALSE)&lt;&gt;"",VLOOKUP(C23,'Ingave Specificaties'!$C$2:$D$418,2,FALSE),"")="N","NEEN",IF(IF(VLOOKUP(C23,'Ingave Specificaties'!$C$2:$D$418,2,FALSE)&lt;&gt;"",VLOOKUP(C23,'Ingave Specificaties'!$C$2:$D$418,2,FALSE),"")="Y","JA",IF(VLOOKUP(C23,'Ingave Specificaties'!$C$2:$D$418,2,FALSE)&lt;&gt;"",VLOOKUP(C23,'Ingave Specificaties'!$C$2:$D$418,2,FALSE),"")))</f>
        <v>2.1+0.3=2.4</v>
      </c>
    </row>
    <row r="24" spans="1:4" s="3" customFormat="1" ht="30.75" customHeight="1">
      <c r="A24" s="19" t="s">
        <v>78</v>
      </c>
      <c r="B24" s="21" t="str">
        <f>IF(IF(VLOOKUP(A24,'Ingave Specificaties'!$C$2:$D$418,2,FALSE)&lt;&gt;"",VLOOKUP(A24,'Ingave Specificaties'!$C$2:$D$418,2,FALSE),"")="N","NEEN",IF(IF(VLOOKUP(A24,'Ingave Specificaties'!$C$2:$D$418,2,FALSE)&lt;&gt;"",VLOOKUP(A24,'Ingave Specificaties'!$C$2:$D$418,2,FALSE),"")="Y","JA",IF(VLOOKUP(A24,'Ingave Specificaties'!$C$2:$D$418,2,FALSE)&lt;&gt;"",VLOOKUP(A24,'Ingave Specificaties'!$C$2:$D$418,2,FALSE),"")))</f>
        <v>205/55 R16 94V</v>
      </c>
      <c r="C24" s="19" t="s">
        <v>80</v>
      </c>
      <c r="D24" s="21" t="str">
        <f>IF(IF(VLOOKUP(C24,'Ingave Specificaties'!$C$2:$D$418,2,FALSE)&lt;&gt;"",VLOOKUP(C24,'Ingave Specificaties'!$C$2:$D$418,2,FALSE),"")="N","NEEN",IF(IF(VLOOKUP(C24,'Ingave Specificaties'!$C$2:$D$418,2,FALSE)&lt;&gt;"",VLOOKUP(C24,'Ingave Specificaties'!$C$2:$D$418,2,FALSE),"")="Y","JA",IF(VLOOKUP(C24,'Ingave Specificaties'!$C$2:$D$418,2,FALSE)&lt;&gt;"",VLOOKUP(C24,'Ingave Specificaties'!$C$2:$D$418,2,FALSE),"")))</f>
        <v>130Nm = NOM = Groen (CHECKWAARDE = 100Nm)</v>
      </c>
    </row>
    <row r="25" spans="1:4" s="3" customFormat="1" ht="30.75" customHeight="1">
      <c r="A25" s="19" t="s">
        <v>81</v>
      </c>
      <c r="B25" s="21" t="str">
        <f>IF(IF(VLOOKUP(A25,'Ingave Specificaties'!$C$2:$D$418,2,FALSE)&lt;&gt;"",VLOOKUP(A25,'Ingave Specificaties'!$C$2:$D$418,2,FALSE),"")="N","NEEN",IF(IF(VLOOKUP(A25,'Ingave Specificaties'!$C$2:$D$418,2,FALSE)&lt;&gt;"",VLOOKUP(A25,'Ingave Specificaties'!$C$2:$D$418,2,FALSE),"")="Y","JA",IF(VLOOKUP(A25,'Ingave Specificaties'!$C$2:$D$418,2,FALSE)&lt;&gt;"",VLOOKUP(A25,'Ingave Specificaties'!$C$2:$D$418,2,FALSE),"")))</f>
        <v>NEEN</v>
      </c>
      <c r="C25" s="19" t="s">
        <v>82</v>
      </c>
      <c r="D25" s="21" t="str">
        <f>IF(IF(VLOOKUP(C25,'Ingave Specificaties'!$C$2:$D$418,2,FALSE)&lt;&gt;"",VLOOKUP(C25,'Ingave Specificaties'!$C$2:$D$418,2,FALSE),"")="N","NEEN",IF(IF(VLOOKUP(C25,'Ingave Specificaties'!$C$2:$D$418,2,FALSE)&lt;&gt;"",VLOOKUP(C25,'Ingave Specificaties'!$C$2:$D$418,2,FALSE),"")="Y","JA",IF(VLOOKUP(C25,'Ingave Specificaties'!$C$2:$D$418,2,FALSE)&lt;&gt;"",VLOOKUP(C25,'Ingave Specificaties'!$C$2:$D$418,2,FALSE),"")))</f>
        <v/>
      </c>
    </row>
    <row r="26" spans="1:4" s="3" customFormat="1" ht="30.75" customHeight="1">
      <c r="A26" s="19" t="s">
        <v>83</v>
      </c>
      <c r="B26" s="21" t="str">
        <f>IF(IF(VLOOKUP(A26,'Ingave Specificaties'!$C$2:$D$418,2,FALSE)&lt;&gt;"",VLOOKUP(A26,'Ingave Specificaties'!$C$2:$D$418,2,FALSE),"")="N","NEEN",IF(IF(VLOOKUP(A26,'Ingave Specificaties'!$C$2:$D$418,2,FALSE)&lt;&gt;"",VLOOKUP(A26,'Ingave Specificaties'!$C$2:$D$418,2,FALSE),"")="Y","JA",IF(VLOOKUP(A26,'Ingave Specificaties'!$C$2:$D$418,2,FALSE)&lt;&gt;"",VLOOKUP(A26,'Ingave Specificaties'!$C$2:$D$418,2,FALSE),"")))</f>
        <v>EPAS</v>
      </c>
      <c r="C26" s="19" t="s">
        <v>84</v>
      </c>
      <c r="D26" s="21" t="str">
        <f>IF(IF(VLOOKUP(C26,'Ingave Specificaties'!$C$2:$D$418,2,FALSE)&lt;&gt;"",VLOOKUP(C26,'Ingave Specificaties'!$C$2:$D$418,2,FALSE),"")="N","NEEN",IF(IF(VLOOKUP(C26,'Ingave Specificaties'!$C$2:$D$418,2,FALSE)&lt;&gt;"",VLOOKUP(C26,'Ingave Specificaties'!$C$2:$D$418,2,FALSE),"")="Y","JA",IF(VLOOKUP(C26,'Ingave Specificaties'!$C$2:$D$418,2,FALSE)&lt;&gt;"",VLOOKUP(C26,'Ingave Specificaties'!$C$2:$D$418,2,FALSE),"")))</f>
        <v/>
      </c>
    </row>
    <row r="27" spans="1:4" s="3" customFormat="1" ht="30.75" customHeight="1">
      <c r="A27" s="19" t="s">
        <v>85</v>
      </c>
      <c r="B27" s="21" t="str">
        <f>IF(IF(VLOOKUP(A27,'Ingave Specificaties'!$C$2:$D$418,2,FALSE)&lt;&gt;"",VLOOKUP(A27,'Ingave Specificaties'!$C$2:$D$418,2,FALSE),"")="N","NEEN",IF(IF(VLOOKUP(A27,'Ingave Specificaties'!$C$2:$D$418,2,FALSE)&lt;&gt;"",VLOOKUP(A27,'Ingave Specificaties'!$C$2:$D$418,2,FALSE),"")="Y","JA",IF(VLOOKUP(A27,'Ingave Specificaties'!$C$2:$D$418,2,FALSE)&lt;&gt;"",VLOOKUP(A27,'Ingave Specificaties'!$C$2:$D$418,2,FALSE),"")))</f>
        <v>ISO 4925 CLASS 6, DOT4</v>
      </c>
      <c r="C27" s="19"/>
      <c r="D27" s="21"/>
    </row>
    <row r="28" spans="1:4" s="3" customFormat="1" ht="30.75" customHeight="1">
      <c r="A28" s="19" t="s">
        <v>86</v>
      </c>
      <c r="B28" s="21" t="str">
        <f>IF(IF(VLOOKUP(A28,'Ingave Specificaties'!$C$2:$D$418,2,FALSE)&lt;&gt;"",VLOOKUP(A28,'Ingave Specificaties'!$C$2:$D$418,2,FALSE),"")="N","NEEN",IF(IF(VLOOKUP(A28,'Ingave Specificaties'!$C$2:$D$418,2,FALSE)&lt;&gt;"",VLOOKUP(A28,'Ingave Specificaties'!$C$2:$D$418,2,FALSE),"")="Y","JA",IF(VLOOKUP(A28,'Ingave Specificaties'!$C$2:$D$418,2,FALSE)&lt;&gt;"",VLOOKUP(A28,'Ingave Specificaties'!$C$2:$D$418,2,FALSE),"")))</f>
        <v>JA</v>
      </c>
      <c r="C28" s="19" t="s">
        <v>87</v>
      </c>
      <c r="D28" s="21" t="str">
        <f>IF(IF(VLOOKUP(C28,'Ingave Specificaties'!$C$2:$D$418,2,FALSE)&lt;&gt;"",VLOOKUP(C28,'Ingave Specificaties'!$C$2:$D$418,2,FALSE),"")="N","NEEN",IF(IF(VLOOKUP(C28,'Ingave Specificaties'!$C$2:$D$418,2,FALSE)&lt;&gt;"",VLOOKUP(C28,'Ingave Specificaties'!$C$2:$D$418,2,FALSE),"")="Y","JA",IF(VLOOKUP(C28,'Ingave Specificaties'!$C$2:$D$418,2,FALSE)&lt;&gt;"",VLOOKUP(C28,'Ingave Specificaties'!$C$2:$D$418,2,FALSE),"")))</f>
        <v>EPAS</v>
      </c>
    </row>
    <row r="29" spans="1:4" s="3" customFormat="1" ht="30.75" customHeight="1">
      <c r="A29" s="19" t="s">
        <v>20</v>
      </c>
      <c r="B29" s="21" t="str">
        <f>IF(IF(VLOOKUP(A29,'Ingave Specificaties'!$C$2:$D$418,2,FALSE)&lt;&gt;"",VLOOKUP(A29,'Ingave Specificaties'!$C$2:$D$418,2,FALSE),"")="N","NEEN",IF(IF(VLOOKUP(A29,'Ingave Specificaties'!$C$2:$D$418,2,FALSE)&lt;&gt;"",VLOOKUP(A29,'Ingave Specificaties'!$C$2:$D$418,2,FALSE),"")="Y","JA",IF(VLOOKUP(A29,'Ingave Specificaties'!$C$2:$D$418,2,FALSE)&lt;&gt;"",VLOOKUP(A29,'Ingave Specificaties'!$C$2:$D$418,2,FALSE),"")))</f>
        <v>JA</v>
      </c>
      <c r="C29" s="19" t="s">
        <v>88</v>
      </c>
      <c r="D29" s="21" t="str">
        <f>IF(IF(VLOOKUP(C29,'Ingave Specificaties'!$C$2:$D$418,2,FALSE)&lt;&gt;"",VLOOKUP(C29,'Ingave Specificaties'!$C$2:$D$418,2,FALSE),"")="N","NEEN",IF(IF(VLOOKUP(C29,'Ingave Specificaties'!$C$2:$D$418,2,FALSE)&lt;&gt;"",VLOOKUP(C29,'Ingave Specificaties'!$C$2:$D$418,2,FALSE),"")="Y","JA",IF(VLOOKUP(C29,'Ingave Specificaties'!$C$2:$D$418,2,FALSE)&lt;&gt;"",VLOOKUP(C29,'Ingave Specificaties'!$C$2:$D$418,2,FALSE),"")))</f>
        <v>A</v>
      </c>
    </row>
    <row r="30" spans="1:4" s="3" customFormat="1" ht="30.75" customHeight="1">
      <c r="A30" s="19" t="s">
        <v>89</v>
      </c>
      <c r="B30" s="21" t="str">
        <f>IF(IF(VLOOKUP(A30,'Ingave Specificaties'!$C$2:$D$418,2,FALSE)&lt;&gt;"",VLOOKUP(A30,'Ingave Specificaties'!$C$2:$D$418,2,FALSE),"")="N","NEEN",IF(IF(VLOOKUP(A30,'Ingave Specificaties'!$C$2:$D$418,2,FALSE)&lt;&gt;"",VLOOKUP(A30,'Ingave Specificaties'!$C$2:$D$418,2,FALSE),"")="Y","JA",IF(VLOOKUP(A30,'Ingave Specificaties'!$C$2:$D$418,2,FALSE)&lt;&gt;"",VLOOKUP(A30,'Ingave Specificaties'!$C$2:$D$418,2,FALSE),"")))</f>
        <v>16 "</v>
      </c>
      <c r="C30" s="22"/>
      <c r="D30" s="22"/>
    </row>
    <row r="31" spans="1:4" s="3" customFormat="1" ht="30.75" customHeight="1">
      <c r="A31" s="63" t="str">
        <f>"VOORAS: SPORING NOMINAAL (dec.0 grad): " &amp;'Ingave Specificaties'!D53 &amp;" [MINIMUM: " &amp; 'Ingave Specificaties'!D52 &amp; " /  MAXIMUM:" &amp; 'Ingave Specificaties'!D51&amp;"  ]"</f>
        <v>VOORAS: SPORING NOMINAAL (dec.0 grad): 0,1 [MINIMUM: -0,1 /  MAXIMUM:0,3  ]</v>
      </c>
      <c r="B31" s="63"/>
      <c r="C31" s="63"/>
      <c r="D31" s="63"/>
    </row>
    <row r="32" spans="1:4" s="3" customFormat="1" ht="30.75" customHeight="1">
      <c r="A32" s="63" t="str">
        <f>"VOORAS: CASTER NOMINAAL (dec.0 grad):        " &amp; 'Ingave Specificaties'!D47 &amp;"     [MINIMUM:" &amp;'Ingave Specificaties'!D46 &amp;"  /  MAXIMUM:" &amp;'Ingave Specificaties'!D45 &amp;"  ]"</f>
        <v>VOORAS: CASTER NOMINAAL (dec.0 grad):        4,3     [MINIMUM:3,3  /  MAXIMUM:5,3  ]</v>
      </c>
      <c r="B32" s="63"/>
      <c r="C32" s="63"/>
      <c r="D32" s="63"/>
    </row>
    <row r="33" spans="1:4" s="3" customFormat="1" ht="30.75" customHeight="1">
      <c r="A33" s="63" t="str">
        <f>"VOORAS: CAMBER NOMINAAL (dec.0 grad):     " &amp;'Ingave Specificaties'!D44 &amp; "        [MINIMUM:" &amp;'Ingave Specificaties'!D43 &amp; "  /  MAXIMUM:" &amp; 'Ingave Specificaties'!D42&amp;"  ]"</f>
        <v>VOORAS: CAMBER NOMINAAL (dec.0 grad):     -0,57        [MINIMUM:-1,32  /  MAXIMUM:0,18  ]</v>
      </c>
      <c r="B33" s="63"/>
      <c r="C33" s="63"/>
      <c r="D33" s="63"/>
    </row>
    <row r="34" spans="1:4" s="3" customFormat="1" ht="30.75" customHeight="1">
      <c r="A34" s="63" t="str">
        <f>"ACHTERAS: SPORING NOMINAAL (dec.0 grad):      " &amp; 'Ingave Specificaties'!D50&amp;"      [MINIMUM:" &amp;'Ingave Specificaties'!D49 &amp;"  /  MAXIMUM:"&amp;'Ingave Specificaties'!D48&amp;"  ]"</f>
        <v>ACHTERAS: SPORING NOMINAAL (dec.0 grad):      0,38      [MINIMUM:0,18  /  MAXIMUM:0,58  ]</v>
      </c>
      <c r="B34" s="63"/>
      <c r="C34" s="63"/>
      <c r="D34" s="63"/>
    </row>
    <row r="35" spans="1:4" s="3" customFormat="1" ht="30.75" customHeight="1">
      <c r="A35" s="63" t="str">
        <f>"ACHTERAS: CAMBER NOMINAAL (dec.0 grad):     "&amp;'Ingave Specificaties'!D41&amp;"      [MINIMUM:"&amp;'Ingave Specificaties'!D40&amp;"  /  MAXIMUM:" &amp;'Ingave Specificaties'!D39&amp;"  ]"</f>
        <v>ACHTERAS: CAMBER NOMINAAL (dec.0 grad):     -1,41      [MINIMUM:-2,16  /  MAXIMUM:-0,66  ]</v>
      </c>
      <c r="B35" s="63"/>
      <c r="C35" s="63"/>
      <c r="D35" s="63"/>
    </row>
    <row r="36" spans="1:4" s="3" customFormat="1" ht="30.75" customHeight="1">
      <c r="A36" s="69" t="s">
        <v>184</v>
      </c>
      <c r="B36" s="69"/>
      <c r="C36" s="69"/>
      <c r="D36" s="69"/>
    </row>
    <row r="37" spans="1:4" s="3" customFormat="1" ht="30.75" customHeight="1">
      <c r="A37" s="19" t="s">
        <v>105</v>
      </c>
      <c r="B37" s="21" t="str">
        <f>IF(IF(VLOOKUP(A37,'Ingave Specificaties'!$C$2:$D$418,2,FALSE)&lt;&gt;"",VLOOKUP(A37,'Ingave Specificaties'!$C$2:$D$418,2,FALSE),"")="N","NEEN",IF(IF(VLOOKUP(A37,'Ingave Specificaties'!$C$2:$D$418,2,FALSE)&lt;&gt;"",VLOOKUP(A37,'Ingave Specificaties'!$C$2:$D$418,2,FALSE),"")="Y","JA",IF(VLOOKUP(A37,'Ingave Specificaties'!$C$2:$D$418,2,FALSE)&lt;&gt;"",VLOOKUP(A37,'Ingave Specificaties'!$C$2:$D$418,2,FALSE),"")))</f>
        <v>JA</v>
      </c>
      <c r="C37" s="19" t="s">
        <v>106</v>
      </c>
      <c r="D37" s="21" t="str">
        <f>IF(IF(VLOOKUP(C37,'Ingave Specificaties'!$C$2:$D$418,2,FALSE)&lt;&gt;"",VLOOKUP(C37,'Ingave Specificaties'!$C$2:$D$418,2,FALSE),"")="N","NEEN",IF(IF(VLOOKUP(C37,'Ingave Specificaties'!$C$2:$D$418,2,FALSE)&lt;&gt;"",VLOOKUP(C37,'Ingave Specificaties'!$C$2:$D$418,2,FALSE),"")="Y","JA",IF(VLOOKUP(C37,'Ingave Specificaties'!$C$2:$D$418,2,FALSE)&lt;&gt;"",VLOOKUP(C37,'Ingave Specificaties'!$C$2:$D$418,2,FALSE),"")))</f>
        <v/>
      </c>
    </row>
    <row r="38" spans="1:4" s="3" customFormat="1" ht="30.75" customHeight="1">
      <c r="A38" s="19" t="s">
        <v>122</v>
      </c>
      <c r="B38" s="21" t="str">
        <f>IF(IF(VLOOKUP(A11,'Ingave Specificaties'!$C$2:$D$418,2,FALSE)&lt;&gt;"",VLOOKUP(A11,'Ingave Specificaties'!$C$2:$D$418,2,FALSE),"")="N","NEEN",IF(IF(VLOOKUP(A11,'Ingave Specificaties'!$C$2:$D$418,2,FALSE)&lt;&gt;"",VLOOKUP(A11,'Ingave Specificaties'!$C$2:$D$418,2,FALSE),"")="Y","JA",IF(VLOOKUP(A11,'Ingave Specificaties'!$C$2:$D$418,2,FALSE)&lt;&gt;"",VLOOKUP(A11,'Ingave Specificaties'!$C$2:$D$418,2,FALSE),"")))</f>
        <v>130Nm = NOM = Groen (CHECKWAARDE = 100Nm)</v>
      </c>
      <c r="C38" s="19" t="s">
        <v>123</v>
      </c>
      <c r="D38" s="21" t="str">
        <f>IF(IF(VLOOKUP(C38,'Ingave Specificaties'!$C$2:$D$418,2,FALSE)&lt;&gt;"",VLOOKUP(C38,'Ingave Specificaties'!$C$2:$D$418,2,FALSE),"")="N","NEEN",IF(IF(VLOOKUP(C38,'Ingave Specificaties'!$C$2:$D$418,2,FALSE)&lt;&gt;"",VLOOKUP(C38,'Ingave Specificaties'!$C$2:$D$418,2,FALSE),"")="Y","JA",IF(VLOOKUP(C38,'Ingave Specificaties'!$C$2:$D$418,2,FALSE)&lt;&gt;"",VLOOKUP(C38,'Ingave Specificaties'!$C$2:$D$418,2,FALSE),"")))</f>
        <v>JA</v>
      </c>
    </row>
    <row r="39" spans="1:4" s="3" customFormat="1" ht="30.75" customHeight="1">
      <c r="A39" s="19" t="s">
        <v>124</v>
      </c>
      <c r="B39" s="21" t="str">
        <f>IF(IF(VLOOKUP(A39,'Ingave Specificaties'!$C$2:$D$418,2,FALSE)&lt;&gt;"",VLOOKUP(A39,'Ingave Specificaties'!$C$2:$D$418,2,FALSE),"")="N","NEEN",IF(IF(VLOOKUP(A39,'Ingave Specificaties'!$C$2:$D$418,2,FALSE)&lt;&gt;"",VLOOKUP(A39,'Ingave Specificaties'!$C$2:$D$418,2,FALSE),"")="Y","JA",IF(VLOOKUP(A39,'Ingave Specificaties'!$C$2:$D$418,2,FALSE)&lt;&gt;"",VLOOKUP(A39,'Ingave Specificaties'!$C$2:$D$418,2,FALSE),"")))</f>
        <v>WSS-M97B44-D (ROOD)</v>
      </c>
      <c r="C39" s="19" t="s">
        <v>125</v>
      </c>
      <c r="D39" s="21" t="str">
        <f>IF(IF(VLOOKUP(C39,'Ingave Specificaties'!$C$2:$D$418,2,FALSE)&lt;&gt;"",VLOOKUP(C39,'Ingave Specificaties'!$C$2:$D$418,2,FALSE),"")="N","NEEN",IF(IF(VLOOKUP(C39,'Ingave Specificaties'!$C$2:$D$418,2,FALSE)&lt;&gt;"",VLOOKUP(C39,'Ingave Specificaties'!$C$2:$D$418,2,FALSE),"")="Y","JA",IF(VLOOKUP(C39,'Ingave Specificaties'!$C$2:$D$418,2,FALSE)&lt;&gt;"",VLOOKUP(C39,'Ingave Specificaties'!$C$2:$D$418,2,FALSE),"")))</f>
        <v>170 Nm</v>
      </c>
    </row>
    <row r="40" spans="1:4" s="3" customFormat="1" ht="30.75" customHeight="1">
      <c r="A40" s="19" t="s">
        <v>126</v>
      </c>
      <c r="B40" s="21" t="str">
        <f>IF(IF(VLOOKUP(A40,'Ingave Specificaties'!$C$2:$D$418,2,FALSE)&lt;&gt;"",VLOOKUP(A40,'Ingave Specificaties'!$C$2:$D$418,2,FALSE),"")="N","NEEN",IF(IF(VLOOKUP(A40,'Ingave Specificaties'!$C$2:$D$418,2,FALSE)&lt;&gt;"",VLOOKUP(A40,'Ingave Specificaties'!$C$2:$D$418,2,FALSE),"")="Y","JA",IF(VLOOKUP(A40,'Ingave Specificaties'!$C$2:$D$418,2,FALSE)&lt;&gt;"",VLOOKUP(A40,'Ingave Specificaties'!$C$2:$D$418,2,FALSE),"")))</f>
        <v>1500-4000</v>
      </c>
      <c r="C40" s="19" t="s">
        <v>127</v>
      </c>
      <c r="D40" s="21">
        <f>IF(IF(VLOOKUP(C40,'Ingave Specificaties'!$C$2:$D$418,2,FALSE)&lt;&gt;"",VLOOKUP(C40,'Ingave Specificaties'!$C$2:$D$418,2,FALSE),"")="N","NEEN",IF(IF(VLOOKUP(C40,'Ingave Specificaties'!$C$2:$D$418,2,FALSE)&lt;&gt;"",VLOOKUP(C40,'Ingave Specificaties'!$C$2:$D$418,2,FALSE),"")="Y","JA",IF(VLOOKUP(C40,'Ingave Specificaties'!$C$2:$D$418,2,FALSE)&lt;&gt;"",VLOOKUP(C40,'Ingave Specificaties'!$C$2:$D$418,2,FALSE),"")))</f>
        <v>6500</v>
      </c>
    </row>
    <row r="41" spans="1:4" s="3" customFormat="1" ht="30.75" customHeight="1">
      <c r="A41" s="19" t="s">
        <v>128</v>
      </c>
      <c r="B41" s="21">
        <f>IF(IF(VLOOKUP(A41,'Ingave Specificaties'!$C$2:$D$418,2,FALSE)&lt;&gt;"",VLOOKUP(A41,'Ingave Specificaties'!$C$2:$D$418,2,FALSE),"")="N","NEEN",IF(IF(VLOOKUP(A41,'Ingave Specificaties'!$C$2:$D$418,2,FALSE)&lt;&gt;"",VLOOKUP(A41,'Ingave Specificaties'!$C$2:$D$418,2,FALSE),"")="Y","JA",IF(VLOOKUP(A41,'Ingave Specificaties'!$C$2:$D$418,2,FALSE)&lt;&gt;"",VLOOKUP(A41,'Ingave Specificaties'!$C$2:$D$418,2,FALSE),"")))</f>
        <v>6675</v>
      </c>
      <c r="C41" s="19" t="s">
        <v>129</v>
      </c>
      <c r="D41" s="21">
        <f>IF(IF(VLOOKUP(C41,'Ingave Specificaties'!$C$2:$D$418,2,FALSE)&lt;&gt;"",VLOOKUP(C41,'Ingave Specificaties'!$C$2:$D$418,2,FALSE),"")="N","NEEN",IF(IF(VLOOKUP(C41,'Ingave Specificaties'!$C$2:$D$418,2,FALSE)&lt;&gt;"",VLOOKUP(C41,'Ingave Specificaties'!$C$2:$D$418,2,FALSE),"")="Y","JA",IF(VLOOKUP(C41,'Ingave Specificaties'!$C$2:$D$418,2,FALSE)&lt;&gt;"",VLOOKUP(C41,'Ingave Specificaties'!$C$2:$D$418,2,FALSE),"")))</f>
        <v>6000</v>
      </c>
    </row>
    <row r="42" spans="1:4" s="3" customFormat="1" ht="30.75" customHeight="1">
      <c r="A42" s="19" t="s">
        <v>130</v>
      </c>
      <c r="B42" s="21" t="str">
        <f>IF(IF(VLOOKUP(A42,'Ingave Specificaties'!$C$2:$D$418,2,FALSE)&lt;&gt;"",VLOOKUP(A42,'Ingave Specificaties'!$C$2:$D$418,2,FALSE),"")="N","NEEN",IF(IF(VLOOKUP(A42,'Ingave Specificaties'!$C$2:$D$418,2,FALSE)&lt;&gt;"",VLOOKUP(A42,'Ingave Specificaties'!$C$2:$D$418,2,FALSE),"")="Y","JA",IF(VLOOKUP(A42,'Ingave Specificaties'!$C$2:$D$418,2,FALSE)&lt;&gt;"",VLOOKUP(A42,'Ingave Specificaties'!$C$2:$D$418,2,FALSE),"")))</f>
        <v/>
      </c>
      <c r="C42" s="19" t="s">
        <v>131</v>
      </c>
      <c r="D42" s="21" t="str">
        <f>IF(IF(VLOOKUP(C42,'Ingave Specificaties'!$C$2:$D$418,2,FALSE)&lt;&gt;"",VLOOKUP(C42,'Ingave Specificaties'!$C$2:$D$418,2,FALSE),"")="N","NEEN",IF(IF(VLOOKUP(C42,'Ingave Specificaties'!$C$2:$D$418,2,FALSE)&lt;&gt;"",VLOOKUP(C42,'Ingave Specificaties'!$C$2:$D$418,2,FALSE),"")="Y","JA",IF(VLOOKUP(C42,'Ingave Specificaties'!$C$2:$D$418,2,FALSE)&lt;&gt;"",VLOOKUP(C42,'Ingave Specificaties'!$C$2:$D$418,2,FALSE),"")))</f>
        <v>9W7E-6714-AA</v>
      </c>
    </row>
    <row r="43" spans="1:4" s="3" customFormat="1" ht="30.75" customHeight="1">
      <c r="A43" s="19" t="s">
        <v>58</v>
      </c>
      <c r="B43" s="21" t="str">
        <f>IF(IF(VLOOKUP(A43,'Ingave Specificaties'!$C$2:$D$418,2,FALSE)&lt;&gt;"",VLOOKUP(A43,'Ingave Specificaties'!$C$2:$D$418,2,FALSE),"")="N","NEEN",IF(IF(VLOOKUP(A43,'Ingave Specificaties'!$C$2:$D$418,2,FALSE)&lt;&gt;"",VLOOKUP(A43,'Ingave Specificaties'!$C$2:$D$418,2,FALSE),"")="Y","JA",IF(VLOOKUP(A43,'Ingave Specificaties'!$C$2:$D$418,2,FALSE)&lt;&gt;"",VLOOKUP(A43,'Ingave Specificaties'!$C$2:$D$418,2,FALSE),"")))</f>
        <v>JA / STAAL:JA  / VERZ.: NEEN</v>
      </c>
      <c r="C43" s="19" t="s">
        <v>133</v>
      </c>
      <c r="D43" s="21" t="str">
        <f>IF(IF(VLOOKUP(C43,'Ingave Specificaties'!$C$2:$D$418,2,FALSE)&lt;&gt;"",VLOOKUP(C43,'Ingave Specificaties'!$C$2:$D$418,2,FALSE),"")="N","NEEN",IF(IF(VLOOKUP(C43,'Ingave Specificaties'!$C$2:$D$418,2,FALSE)&lt;&gt;"",VLOOKUP(C43,'Ingave Specificaties'!$C$2:$D$418,2,FALSE),"")="Y","JA",IF(VLOOKUP(C43,'Ingave Specificaties'!$C$2:$D$418,2,FALSE)&lt;&gt;"",VLOOKUP(C43,'Ingave Specificaties'!$C$2:$D$418,2,FALSE),"")))</f>
        <v/>
      </c>
    </row>
    <row r="44" spans="1:4" s="3" customFormat="1" ht="36" customHeight="1">
      <c r="A44" s="23" t="s">
        <v>134</v>
      </c>
      <c r="B44" s="24" t="str">
        <f>IF(IF(VLOOKUP(A44,'Ingave Specificaties'!$C$2:$D$418,2,FALSE)&lt;&gt;"",VLOOKUP(A44,'Ingave Specificaties'!$C$2:$D$418,2,FALSE),"")="N","NEEN",IF(IF(VLOOKUP(A44,'Ingave Specificaties'!$C$2:$D$418,2,FALSE)&lt;&gt;"",VLOOKUP(A44,'Ingave Specificaties'!$C$2:$D$418,2,FALSE),"")="Y","JA",IF(VLOOKUP(A44,'Ingave Specificaties'!$C$2:$D$418,2,FALSE)&lt;&gt;"",VLOOKUP(A44,'Ingave Specificaties'!$C$2:$D$418,2,FALSE),"")))</f>
        <v>WSS-M2C948-A 5W20</v>
      </c>
      <c r="C44" s="23" t="s">
        <v>58</v>
      </c>
      <c r="D44" s="21" t="str">
        <f>IF(IF(VLOOKUP(C44,'Ingave Specificaties'!$C$2:$D$418,2,FALSE)&lt;&gt;"",VLOOKUP(C44,'Ingave Specificaties'!$C$2:$D$418,2,FALSE),"")="N","NEEN",IF(IF(VLOOKUP(C44,'Ingave Specificaties'!$C$2:$D$418,2,FALSE)&lt;&gt;"",VLOOKUP(C44,'Ingave Specificaties'!$C$2:$D$418,2,FALSE),"")="Y","JA",IF(VLOOKUP(C44,'Ingave Specificaties'!$C$2:$D$418,2,FALSE)&lt;&gt;"",VLOOKUP(C44,'Ingave Specificaties'!$C$2:$D$418,2,FALSE),"")))</f>
        <v>JA / STAAL:JA  / VERZ.: NEEN</v>
      </c>
    </row>
    <row r="45" spans="1:4" s="3" customFormat="1" ht="30.75" customHeight="1">
      <c r="A45" s="19" t="s">
        <v>135</v>
      </c>
      <c r="B45" s="21" t="str">
        <f>IF(IF(VLOOKUP(A45,'Ingave Specificaties'!$C$2:$D$418,2,FALSE)&lt;&gt;"",VLOOKUP(A45,'Ingave Specificaties'!$C$2:$D$418,2,FALSE),"")="N","NEEN",IF(IF(VLOOKUP(A45,'Ingave Specificaties'!$C$2:$D$418,2,FALSE)&lt;&gt;"",VLOOKUP(A45,'Ingave Specificaties'!$C$2:$D$418,2,FALSE),"")="Y","JA",IF(VLOOKUP(A45,'Ingave Specificaties'!$C$2:$D$418,2,FALSE)&lt;&gt;"",VLOOKUP(A45,'Ingave Specificaties'!$C$2:$D$418,2,FALSE),"")))</f>
        <v>JA</v>
      </c>
      <c r="C45" s="19" t="s">
        <v>230</v>
      </c>
      <c r="D45" s="21" t="str">
        <f>IF(IF(VLOOKUP(C45,'Ingave Specificaties'!$C$2:$D$418,2,FALSE)&lt;&gt;"",VLOOKUP(C45,'Ingave Specificaties'!$C$2:$D$418,2,FALSE),"")="N","NEEN",IF(IF(VLOOKUP(C45,'Ingave Specificaties'!$C$2:$D$418,2,FALSE)&lt;&gt;"",VLOOKUP(C45,'Ingave Specificaties'!$C$2:$D$418,2,FALSE),"")="Y","JA",IF(VLOOKUP(C45,'Ingave Specificaties'!$C$2:$D$418,2,FALSE)&lt;&gt;"",VLOOKUP(C45,'Ingave Specificaties'!$C$2:$D$418,2,FALSE),"")))</f>
        <v>DET</v>
      </c>
    </row>
    <row r="46" spans="1:4" s="3" customFormat="1" ht="30.75" customHeight="1">
      <c r="A46" s="19" t="s">
        <v>138</v>
      </c>
      <c r="B46" s="21" t="str">
        <f>IF(IF(VLOOKUP(A46,'Ingave Specificaties'!$C$2:$D$418,2,FALSE)&lt;&gt;"",VLOOKUP(A46,'Ingave Specificaties'!$C$2:$D$418,2,FALSE),"")="N","NEEN",IF(IF(VLOOKUP(A46,'Ingave Specificaties'!$C$2:$D$418,2,FALSE)&lt;&gt;"",VLOOKUP(A46,'Ingave Specificaties'!$C$2:$D$418,2,FALSE),"")="Y","JA",IF(VLOOKUP(A46,'Ingave Specificaties'!$C$2:$D$418,2,FALSE)&lt;&gt;"",VLOOKUP(A46,'Ingave Specificaties'!$C$2:$D$418,2,FALSE),"")))</f>
        <v>840-860</v>
      </c>
      <c r="C46" s="22"/>
      <c r="D46" s="22"/>
    </row>
    <row r="47" spans="1:4" s="3" customFormat="1" ht="30.75" customHeight="1">
      <c r="A47" s="69" t="s">
        <v>185</v>
      </c>
      <c r="B47" s="69"/>
      <c r="C47" s="69"/>
      <c r="D47" s="69"/>
    </row>
    <row r="48" spans="1:4" s="3" customFormat="1" ht="30.75" customHeight="1">
      <c r="A48" s="19" t="s">
        <v>152</v>
      </c>
      <c r="B48" s="36" t="str">
        <f>IF(IF(VLOOKUP(A48,'Ingave Specificaties'!$C$2:$D$418,2,FALSE)&lt;&gt;"",VLOOKUP(A48,'Ingave Specificaties'!$C$2:$D$418,2,FALSE),"")="N","NEEN",IF(IF(VLOOKUP(A48,'Ingave Specificaties'!$C$2:$D$418,2,FALSE)&lt;&gt;"",VLOOKUP(A48,'Ingave Specificaties'!$C$2:$D$418,2,FALSE),"")="Y","JA",IF(VLOOKUP(A48,'Ingave Specificaties'!$C$2:$D$418,2,FALSE)&lt;&gt;"",VLOOKUP(A48,'Ingave Specificaties'!$C$2:$D$418,2,FALSE),"")))</f>
        <v/>
      </c>
      <c r="C48" s="19"/>
      <c r="D48" s="21"/>
    </row>
    <row r="49" spans="1:4" s="3" customFormat="1" ht="30.75" customHeight="1">
      <c r="A49" s="35" t="s">
        <v>153</v>
      </c>
      <c r="B49" s="36" t="str">
        <f>IF(IF(VLOOKUP(A49,'Ingave Specificaties'!$C$2:$D$418,2,FALSE)&lt;&gt;"",VLOOKUP(A49,'Ingave Specificaties'!$C$2:$D$418,2,FALSE),"")="N","NEEN",IF(IF(VLOOKUP(A49,'Ingave Specificaties'!$C$2:$D$418,2,FALSE)&lt;&gt;"",VLOOKUP(A49,'Ingave Specificaties'!$C$2:$D$418,2,FALSE),"")="Y","JA",IF(VLOOKUP(A49,'Ingave Specificaties'!$C$2:$D$418,2,FALSE)&lt;&gt;"",VLOOKUP(A49,'Ingave Specificaties'!$C$2:$D$418,2,FALSE),"")))</f>
        <v>PLUG</v>
      </c>
      <c r="C49" s="35" t="s">
        <v>154</v>
      </c>
      <c r="D49" s="36" t="str">
        <f>IF(IF(VLOOKUP(C49,'Ingave Specificaties'!$C$2:$D$418,2,FALSE)&lt;&gt;"",VLOOKUP(C49,'Ingave Specificaties'!$C$2:$D$418,2,FALSE),"")="N","NEEN",IF(IF(VLOOKUP(C49,'Ingave Specificaties'!$C$2:$D$418,2,FALSE)&lt;&gt;"",VLOOKUP(C49,'Ingave Specificaties'!$C$2:$D$418,2,FALSE),"")="Y","JA",IF(VLOOKUP(C49,'Ingave Specificaties'!$C$2:$D$418,2,FALSE)&lt;&gt;"",VLOOKUP(C49,'Ingave Specificaties'!$C$2:$D$418,2,FALSE),"")))</f>
        <v>WSS-M2C938-A</v>
      </c>
    </row>
  </sheetData>
  <dataConsolidate/>
  <mergeCells count="14">
    <mergeCell ref="A33:D33"/>
    <mergeCell ref="A34:D34"/>
    <mergeCell ref="A35:D35"/>
    <mergeCell ref="A36:D36"/>
    <mergeCell ref="A47:D47"/>
    <mergeCell ref="A32:D32"/>
    <mergeCell ref="A1:D1"/>
    <mergeCell ref="A2:D2"/>
    <mergeCell ref="C3:D3"/>
    <mergeCell ref="A4:D4"/>
    <mergeCell ref="A16:D16"/>
    <mergeCell ref="A18:D18"/>
    <mergeCell ref="A21:D21"/>
    <mergeCell ref="A31:D31"/>
  </mergeCells>
  <pageMargins left="0.7" right="0.7" top="0.75" bottom="0.75" header="0.3" footer="0.3"/>
  <pageSetup paperSize="9" scale="62" fitToHeight="2" orientation="portrait" r:id="rId1"/>
  <headerFooter>
    <oddFooter>&amp;LGenerated from DURIS
by Durability Dept on &amp;D &amp;T&amp;RFord Confidential
Printed Copies are uncontrolled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31"/>
  <sheetViews>
    <sheetView tabSelected="1" workbookViewId="0">
      <selection activeCell="B34" sqref="B34"/>
    </sheetView>
  </sheetViews>
  <sheetFormatPr defaultRowHeight="12.75"/>
  <cols>
    <col min="1" max="1" width="17.5703125" customWidth="1"/>
    <col min="2" max="2" width="35.140625" customWidth="1"/>
    <col min="3" max="3" width="29.7109375" style="1" customWidth="1"/>
    <col min="4" max="4" width="22.140625" customWidth="1"/>
    <col min="5" max="5" width="30.5703125" customWidth="1"/>
    <col min="6" max="6" width="43.7109375" customWidth="1"/>
  </cols>
  <sheetData>
    <row r="1" spans="1:3">
      <c r="A1" s="26" t="s">
        <v>189</v>
      </c>
      <c r="B1" s="26" t="s">
        <v>190</v>
      </c>
      <c r="C1" s="27" t="str">
        <f>'Specificaties-Output'!A1:A1</f>
        <v>EW5S6377</v>
      </c>
    </row>
    <row r="2" spans="1:3">
      <c r="A2" s="26" t="s">
        <v>189</v>
      </c>
      <c r="B2" s="26" t="s">
        <v>191</v>
      </c>
      <c r="C2" s="58" t="s">
        <v>669</v>
      </c>
    </row>
    <row r="3" spans="1:3">
      <c r="A3" s="26" t="s">
        <v>192</v>
      </c>
      <c r="B3" s="26"/>
      <c r="C3" s="27"/>
    </row>
    <row r="4" spans="1:3">
      <c r="A4" s="26" t="s">
        <v>192</v>
      </c>
      <c r="B4" s="26"/>
      <c r="C4" s="27"/>
    </row>
    <row r="5" spans="1:3">
      <c r="A5" s="26" t="s">
        <v>192</v>
      </c>
      <c r="B5" s="26"/>
      <c r="C5" s="27"/>
    </row>
    <row r="6" spans="1:3">
      <c r="A6" s="26" t="s">
        <v>192</v>
      </c>
      <c r="B6" s="26"/>
      <c r="C6" s="27"/>
    </row>
    <row r="7" spans="1:3">
      <c r="A7" s="26" t="s">
        <v>192</v>
      </c>
      <c r="B7" s="26"/>
      <c r="C7" s="27"/>
    </row>
    <row r="8" spans="1:3">
      <c r="A8" s="26" t="s">
        <v>192</v>
      </c>
      <c r="B8" s="26"/>
      <c r="C8" s="27"/>
    </row>
    <row r="9" spans="1:3">
      <c r="A9" s="26" t="s">
        <v>192</v>
      </c>
      <c r="B9" s="26"/>
      <c r="C9" s="27"/>
    </row>
    <row r="10" spans="1:3">
      <c r="A10" s="26" t="s">
        <v>193</v>
      </c>
      <c r="B10" s="26" t="s">
        <v>77</v>
      </c>
      <c r="C10" s="27" t="str">
        <f>'Ingave Specificaties'!D22</f>
        <v>2.1+0.3=2.4</v>
      </c>
    </row>
    <row r="11" spans="1:3">
      <c r="A11" s="26" t="s">
        <v>194</v>
      </c>
      <c r="B11" s="26" t="s">
        <v>75</v>
      </c>
      <c r="C11" s="27" t="str">
        <f>'Ingave Specificaties'!D20</f>
        <v>2.1+0.3=2.4</v>
      </c>
    </row>
    <row r="12" spans="1:3">
      <c r="A12" s="26" t="s">
        <v>195</v>
      </c>
      <c r="B12" s="26" t="s">
        <v>76</v>
      </c>
      <c r="C12" s="27" t="str">
        <f>'Ingave Specificaties'!D21</f>
        <v>2.4+0.3 = 2.7</v>
      </c>
    </row>
    <row r="13" spans="1:3">
      <c r="A13" s="26" t="s">
        <v>196</v>
      </c>
      <c r="B13" s="26" t="s">
        <v>74</v>
      </c>
      <c r="C13" s="27" t="str">
        <f>'Ingave Specificaties'!D19</f>
        <v>2.8+0.3 = 3.1</v>
      </c>
    </row>
    <row r="14" spans="1:3">
      <c r="A14" s="26" t="s">
        <v>197</v>
      </c>
      <c r="B14" s="26" t="s">
        <v>129</v>
      </c>
      <c r="C14" s="27">
        <f>'Ingave Specificaties'!D77</f>
        <v>6000</v>
      </c>
    </row>
    <row r="15" spans="1:3">
      <c r="A15" s="26" t="s">
        <v>198</v>
      </c>
      <c r="B15" s="26" t="s">
        <v>126</v>
      </c>
      <c r="C15" s="27" t="str">
        <f>'Ingave Specificaties'!D74</f>
        <v>1500-4000</v>
      </c>
    </row>
    <row r="16" spans="1:3">
      <c r="A16" s="26" t="s">
        <v>199</v>
      </c>
      <c r="B16" s="26" t="s">
        <v>128</v>
      </c>
      <c r="C16" s="27">
        <f>'Ingave Specificaties'!D76</f>
        <v>6675</v>
      </c>
    </row>
    <row r="17" spans="1:3">
      <c r="A17" s="26" t="s">
        <v>200</v>
      </c>
      <c r="B17" s="26" t="s">
        <v>127</v>
      </c>
      <c r="C17" s="27">
        <f>'Ingave Specificaties'!D75</f>
        <v>6500</v>
      </c>
    </row>
    <row r="18" spans="1:3">
      <c r="A18" s="26" t="s">
        <v>201</v>
      </c>
      <c r="B18" s="26" t="s">
        <v>122</v>
      </c>
      <c r="C18" s="27" t="str">
        <f>'Ingave Specificaties'!D11</f>
        <v>95RON E10 ( of 95RON)</v>
      </c>
    </row>
    <row r="19" spans="1:3">
      <c r="A19" s="26" t="s">
        <v>202</v>
      </c>
      <c r="B19" s="26" t="s">
        <v>8</v>
      </c>
      <c r="C19" s="27" t="str">
        <f>'Ingave Specificaties'!D34</f>
        <v>Y</v>
      </c>
    </row>
    <row r="20" spans="1:3">
      <c r="A20" s="26" t="s">
        <v>203</v>
      </c>
      <c r="B20" s="26" t="s">
        <v>13</v>
      </c>
      <c r="C20" s="27" t="str">
        <f>'Ingave Specificaties'!D35</f>
        <v>EPAS</v>
      </c>
    </row>
    <row r="21" spans="1:3">
      <c r="A21" s="26" t="s">
        <v>204</v>
      </c>
      <c r="B21" s="26" t="s">
        <v>20</v>
      </c>
      <c r="C21" s="27" t="str">
        <f>'Ingave Specificaties'!D36</f>
        <v>Y</v>
      </c>
    </row>
    <row r="22" spans="1:3">
      <c r="A22" s="26" t="s">
        <v>192</v>
      </c>
      <c r="B22" s="26"/>
      <c r="C22" s="27"/>
    </row>
    <row r="23" spans="1:3">
      <c r="A23" s="26" t="s">
        <v>192</v>
      </c>
      <c r="B23" s="26"/>
      <c r="C23" s="27"/>
    </row>
    <row r="24" spans="1:3">
      <c r="A24" s="26" t="s">
        <v>192</v>
      </c>
      <c r="B24" s="26"/>
      <c r="C24" s="27"/>
    </row>
    <row r="25" spans="1:3">
      <c r="A25" s="26" t="s">
        <v>192</v>
      </c>
      <c r="B25" s="26"/>
      <c r="C25" s="27"/>
    </row>
    <row r="26" spans="1:3">
      <c r="A26" s="26" t="s">
        <v>192</v>
      </c>
      <c r="B26" s="26"/>
      <c r="C26" s="27"/>
    </row>
    <row r="27" spans="1:3">
      <c r="A27" s="26" t="s">
        <v>192</v>
      </c>
      <c r="B27" s="26"/>
      <c r="C27" s="27"/>
    </row>
    <row r="28" spans="1:3">
      <c r="A28" s="26" t="s">
        <v>192</v>
      </c>
      <c r="B28" s="26"/>
      <c r="C28" s="27"/>
    </row>
    <row r="29" spans="1:3">
      <c r="A29" s="26" t="s">
        <v>192</v>
      </c>
      <c r="B29" s="26"/>
      <c r="C29" s="27"/>
    </row>
    <row r="30" spans="1:3">
      <c r="A30" s="26" t="s">
        <v>0</v>
      </c>
      <c r="B30" s="26" t="s">
        <v>205</v>
      </c>
      <c r="C30" s="27" t="str">
        <f>'Ingave Specificaties'!D9</f>
        <v>LHD</v>
      </c>
    </row>
    <row r="31" spans="1:3">
      <c r="A31" s="26" t="s">
        <v>0</v>
      </c>
      <c r="B31" s="26" t="s">
        <v>206</v>
      </c>
      <c r="C31" s="27" t="str">
        <f>UPPER('Specificaties-Output'!E2)</f>
        <v>K</v>
      </c>
    </row>
  </sheetData>
  <pageMargins left="0.7" right="0.7" top="0.75" bottom="0.75" header="0.3" footer="0.3"/>
  <pageSetup paperSize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as_Vehiclespecifications_file_aan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"/>
  <sheetViews>
    <sheetView topLeftCell="A25" workbookViewId="0">
      <selection activeCell="B22" sqref="B22"/>
    </sheetView>
  </sheetViews>
  <sheetFormatPr defaultRowHeight="12.75"/>
  <cols>
    <col min="1" max="1" width="42.5703125" customWidth="1"/>
    <col min="2" max="2" width="57.42578125" customWidth="1"/>
  </cols>
  <sheetData>
    <row r="1" spans="1:2">
      <c r="A1" s="28" t="s">
        <v>208</v>
      </c>
      <c r="B1" s="28" t="s">
        <v>342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9DA15C0C1F859419602E5407D430F3C" ma:contentTypeVersion="0" ma:contentTypeDescription="Create a new document." ma:contentTypeScope="" ma:versionID="452555e16c2795b15f30cdb1952c830a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4DAF918-2961-4815-9538-EF2CAC7BFF43}">
  <ds:schemaRefs>
    <ds:schemaRef ds:uri="http://purl.org/dc/elements/1.1/"/>
    <ds:schemaRef ds:uri="http://schemas.microsoft.com/office/2006/documentManagement/types"/>
    <ds:schemaRef ds:uri="http://purl.org/dc/terms/"/>
    <ds:schemaRef ds:uri="http://purl.org/dc/dcmitype/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92E721F-1097-4598-BEEB-D19ED9E17FC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125A80-227D-46A2-83D3-D859107AFF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Ingave Specificaties</vt:lpstr>
      <vt:lpstr>Specificaties-Output</vt:lpstr>
      <vt:lpstr>vehspecifications</vt:lpstr>
      <vt:lpstr>SetupFiles</vt:lpstr>
      <vt:lpstr>'Specificaties-Output'!Print_Area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Bogaerts, Herman (H.)</dc:creator>
  <cp:lastModifiedBy>Robbie Vercammen</cp:lastModifiedBy>
  <cp:lastPrinted>2013-09-27T13:07:29Z</cp:lastPrinted>
  <dcterms:created xsi:type="dcterms:W3CDTF">2012-02-15T11:11:35Z</dcterms:created>
  <dcterms:modified xsi:type="dcterms:W3CDTF">2014-02-04T19:24:19Z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0x01010099DA15C0C1F859419602E5407D430F3C</vt:lpwstr>
  </property>
  <property fmtid="{D5CDD505-2E9C-101B-9397-08002B2CF9AE}" pid="3" name="_AdHocReviewCycleID">
    <vt:i4>313470694</vt:i4>
  </property>
  <property fmtid="{D5CDD505-2E9C-101B-9397-08002B2CF9AE}" pid="4" name="_NewReviewCycle">
    <vt:lpwstr/>
  </property>
  <property fmtid="{D5CDD505-2E9C-101B-9397-08002B2CF9AE}" pid="5" name="_EmailSubject">
    <vt:lpwstr>Aanvraag digitale documenten</vt:lpwstr>
  </property>
  <property fmtid="{D5CDD505-2E9C-101B-9397-08002B2CF9AE}" pid="6" name="_AuthorEmail">
    <vt:lpwstr>hbogaert@ford.com</vt:lpwstr>
  </property>
  <property fmtid="{D5CDD505-2E9C-101B-9397-08002B2CF9AE}" pid="7" name="_AuthorEmailDisplayName">
    <vt:lpwstr>Bogaerts, Herman (H.)</vt:lpwstr>
  </property>
  <property fmtid="{D5CDD505-2E9C-101B-9397-08002B2CF9AE}" pid="8" name="_PreviousAdHocReviewCycleID">
    <vt:i4>1951132803</vt:i4>
  </property>
  <property fmtid="{D5CDD505-2E9C-101B-9397-08002B2CF9AE}" pid="9" name="_ReviewingToolsShownOnce">
    <vt:lpwstr/>
  </property>
</Properties>
</file>